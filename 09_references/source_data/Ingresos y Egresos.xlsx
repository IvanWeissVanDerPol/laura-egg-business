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GRANJA\GALLINAS\"/>
    </mc:Choice>
  </mc:AlternateContent>
  <xr:revisionPtr revIDLastSave="0" documentId="13_ncr:1_{9FD3C5E3-A891-4540-9566-690378F0B9A9}" xr6:coauthVersionLast="47" xr6:coauthVersionMax="47" xr10:uidLastSave="{00000000-0000-0000-0000-000000000000}"/>
  <bookViews>
    <workbookView xWindow="-120" yWindow="-120" windowWidth="20730" windowHeight="11160" activeTab="3" xr2:uid="{A34B2D90-1169-4981-865D-1D8DFC27D610}"/>
  </bookViews>
  <sheets>
    <sheet name="Ganancias" sheetId="5" r:id="rId1"/>
    <sheet name="Ingresos 2023" sheetId="2" r:id="rId2"/>
    <sheet name="Ingresos 2024" sheetId="4" r:id="rId3"/>
    <sheet name="Egresos" sheetId="3" r:id="rId4"/>
    <sheet name="Hoja1" sheetId="1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5" l="1"/>
  <c r="I1049" i="4"/>
  <c r="L1044" i="4"/>
  <c r="I1044" i="4"/>
  <c r="I1043" i="4"/>
  <c r="I1042" i="4"/>
  <c r="I1041" i="4"/>
  <c r="I1047" i="4" s="1"/>
  <c r="I1051" i="4" s="1"/>
  <c r="G1038" i="4"/>
  <c r="I875" i="4"/>
  <c r="G872" i="4"/>
  <c r="L878" i="4"/>
  <c r="I878" i="4" s="1"/>
  <c r="I877" i="4"/>
  <c r="I876" i="4"/>
  <c r="G686" i="4"/>
  <c r="I697" i="4"/>
  <c r="L692" i="4"/>
  <c r="I692" i="4" s="1"/>
  <c r="I691" i="4"/>
  <c r="I690" i="4"/>
  <c r="I689" i="4"/>
  <c r="I695" i="4" s="1"/>
  <c r="G46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20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G6" i="2"/>
  <c r="J9" i="2"/>
  <c r="J76" i="2"/>
  <c r="J148" i="2"/>
  <c r="J226" i="2"/>
  <c r="J315" i="2"/>
  <c r="J397" i="2"/>
  <c r="J479" i="2"/>
  <c r="J583" i="2"/>
  <c r="J671" i="2"/>
  <c r="J789" i="2"/>
  <c r="C4" i="5"/>
  <c r="C3" i="5"/>
  <c r="J899" i="2"/>
  <c r="J897" i="2"/>
  <c r="M894" i="2"/>
  <c r="J894" i="2" s="1"/>
  <c r="J893" i="2"/>
  <c r="J892" i="2"/>
  <c r="J891" i="2"/>
  <c r="L475" i="4"/>
  <c r="I475" i="4" s="1"/>
  <c r="I474" i="4"/>
  <c r="I473" i="4"/>
  <c r="I472" i="4"/>
  <c r="I267" i="4"/>
  <c r="L262" i="4"/>
  <c r="I262" i="4"/>
  <c r="I261" i="4"/>
  <c r="I260" i="4"/>
  <c r="I8" i="4"/>
  <c r="L8" i="4"/>
  <c r="I7" i="4"/>
  <c r="I6" i="4"/>
  <c r="I5" i="4"/>
  <c r="L115" i="4"/>
  <c r="I115" i="4" s="1"/>
  <c r="I114" i="4"/>
  <c r="I113" i="4"/>
  <c r="I112" i="4"/>
  <c r="I118" i="4" s="1"/>
  <c r="I259" i="4"/>
  <c r="F31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395" i="4"/>
  <c r="F396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G256" i="4" s="1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H6" i="5"/>
  <c r="H7" i="5" s="1"/>
  <c r="H8" i="5" s="1"/>
  <c r="K8" i="5" s="1"/>
  <c r="G2" i="2"/>
  <c r="F2" i="2"/>
  <c r="C2" i="2"/>
  <c r="J12" i="2"/>
  <c r="J11" i="2"/>
  <c r="J10" i="2"/>
  <c r="J78" i="2"/>
  <c r="J79" i="2"/>
  <c r="J791" i="2"/>
  <c r="J585" i="2"/>
  <c r="J317" i="2"/>
  <c r="J151" i="2"/>
  <c r="J150" i="2"/>
  <c r="J149" i="2"/>
  <c r="J154" i="2"/>
  <c r="J228" i="2"/>
  <c r="J318" i="2"/>
  <c r="J229" i="2"/>
  <c r="J227" i="2"/>
  <c r="M792" i="2"/>
  <c r="M674" i="2"/>
  <c r="J674" i="2" s="1"/>
  <c r="J316" i="2"/>
  <c r="J400" i="2"/>
  <c r="J398" i="2"/>
  <c r="J399" i="2"/>
  <c r="J481" i="2"/>
  <c r="J673" i="2"/>
  <c r="J482" i="2"/>
  <c r="J480" i="2"/>
  <c r="J586" i="2"/>
  <c r="J584" i="2"/>
  <c r="J672" i="2"/>
  <c r="J792" i="2"/>
  <c r="J790" i="2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I120" i="4" s="1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D183" i="3"/>
  <c r="D182" i="3"/>
  <c r="D181" i="3"/>
  <c r="D180" i="3"/>
  <c r="D179" i="3"/>
  <c r="D178" i="3"/>
  <c r="F177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C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C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2" i="3"/>
  <c r="D31" i="3"/>
  <c r="D30" i="3"/>
  <c r="D28" i="3"/>
  <c r="D25" i="3"/>
  <c r="D23" i="3"/>
  <c r="D20" i="3"/>
  <c r="D18" i="3"/>
  <c r="D16" i="3"/>
  <c r="D15" i="3"/>
  <c r="D11" i="3"/>
  <c r="D10" i="3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J797" i="2" s="1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J679" i="2" s="1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J591" i="2" s="1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J487" i="2" s="1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J405" i="2" s="1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G312" i="2" s="1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J234" i="2" s="1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G145" i="2" s="1"/>
  <c r="F147" i="2"/>
  <c r="F146" i="2"/>
  <c r="F145" i="2"/>
  <c r="J156" i="2" s="1"/>
  <c r="J158" i="2" s="1"/>
  <c r="B5" i="5" s="1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C86" i="2"/>
  <c r="F86" i="2" s="1"/>
  <c r="F85" i="2"/>
  <c r="F84" i="2"/>
  <c r="F83" i="2"/>
  <c r="F82" i="2"/>
  <c r="F81" i="2"/>
  <c r="F80" i="2"/>
  <c r="F79" i="2"/>
  <c r="C78" i="2"/>
  <c r="F78" i="2" s="1"/>
  <c r="F77" i="2"/>
  <c r="F76" i="2"/>
  <c r="J84" i="2" s="1"/>
  <c r="F75" i="2"/>
  <c r="F74" i="2"/>
  <c r="F73" i="2"/>
  <c r="G73" i="2" s="1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F183" i="1"/>
  <c r="F182" i="1"/>
  <c r="F181" i="1"/>
  <c r="F180" i="1"/>
  <c r="F179" i="1"/>
  <c r="F178" i="1"/>
  <c r="H177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16" i="1"/>
  <c r="J115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E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E74" i="1"/>
  <c r="F73" i="1"/>
  <c r="F72" i="1"/>
  <c r="F71" i="1"/>
  <c r="F70" i="1"/>
  <c r="F69" i="1"/>
  <c r="F68" i="1"/>
  <c r="F67" i="1"/>
  <c r="F66" i="1"/>
  <c r="F65" i="1"/>
  <c r="F64" i="1"/>
  <c r="F63" i="1"/>
  <c r="F62" i="1"/>
  <c r="I61" i="1"/>
  <c r="I62" i="1" s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C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2" i="1"/>
  <c r="F31" i="1"/>
  <c r="F30" i="1"/>
  <c r="F28" i="1"/>
  <c r="F25" i="1"/>
  <c r="F23" i="1"/>
  <c r="F20" i="1"/>
  <c r="F18" i="1"/>
  <c r="F16" i="1"/>
  <c r="F15" i="1"/>
  <c r="F11" i="1"/>
  <c r="F10" i="1"/>
  <c r="C2" i="1"/>
  <c r="B2" i="1"/>
  <c r="K7" i="5" l="1"/>
  <c r="H9" i="5"/>
  <c r="I883" i="4"/>
  <c r="I881" i="4"/>
  <c r="I699" i="4"/>
  <c r="I478" i="4"/>
  <c r="I480" i="4"/>
  <c r="I265" i="4"/>
  <c r="I269" i="4"/>
  <c r="I13" i="4"/>
  <c r="G2" i="4"/>
  <c r="I11" i="4"/>
  <c r="G109" i="4"/>
  <c r="G668" i="2"/>
  <c r="J485" i="2"/>
  <c r="J489" i="2" s="1"/>
  <c r="B9" i="5" s="1"/>
  <c r="J323" i="2"/>
  <c r="G888" i="2"/>
  <c r="G476" i="2"/>
  <c r="J403" i="2"/>
  <c r="J407" i="2" s="1"/>
  <c r="B8" i="5" s="1"/>
  <c r="G223" i="2"/>
  <c r="J77" i="2"/>
  <c r="J82" i="2" s="1"/>
  <c r="J86" i="2" s="1"/>
  <c r="B4" i="5" s="1"/>
  <c r="G580" i="2"/>
  <c r="J901" i="2"/>
  <c r="B13" i="5" s="1"/>
  <c r="G394" i="2"/>
  <c r="J677" i="2"/>
  <c r="J681" i="2" s="1"/>
  <c r="B11" i="5" s="1"/>
  <c r="G786" i="2"/>
  <c r="J232" i="2"/>
  <c r="J236" i="2" s="1"/>
  <c r="B6" i="5" s="1"/>
  <c r="J15" i="2"/>
  <c r="J17" i="2"/>
  <c r="J795" i="2"/>
  <c r="J799" i="2" s="1"/>
  <c r="B12" i="5" s="1"/>
  <c r="J589" i="2"/>
  <c r="J593" i="2" s="1"/>
  <c r="B10" i="5" s="1"/>
  <c r="J321" i="2"/>
  <c r="J325" i="2" s="1"/>
  <c r="B7" i="5" s="1"/>
  <c r="K9" i="5" l="1"/>
  <c r="I12" i="5"/>
  <c r="I885" i="4"/>
  <c r="I482" i="4"/>
  <c r="I15" i="4"/>
  <c r="C2" i="5" s="1"/>
  <c r="I122" i="4"/>
  <c r="J19" i="2"/>
  <c r="B3" i="5" s="1"/>
</calcChain>
</file>

<file path=xl/sharedStrings.xml><?xml version="1.0" encoding="utf-8"?>
<sst xmlns="http://schemas.openxmlformats.org/spreadsheetml/2006/main" count="4794" uniqueCount="224">
  <si>
    <t>Fecha</t>
  </si>
  <si>
    <t>Ingreso</t>
  </si>
  <si>
    <t>Egreso</t>
  </si>
  <si>
    <t>Concepto</t>
  </si>
  <si>
    <t>Cantidad</t>
  </si>
  <si>
    <t>Precio Unitario</t>
  </si>
  <si>
    <t>Cliente</t>
  </si>
  <si>
    <t>Observaciones</t>
  </si>
  <si>
    <t>Cascarilla de arroz</t>
  </si>
  <si>
    <t>AVT 40</t>
  </si>
  <si>
    <t>Cooka</t>
  </si>
  <si>
    <t>Poly-phen</t>
  </si>
  <si>
    <t>Bionatural</t>
  </si>
  <si>
    <t>Potenbac polvo 100g</t>
  </si>
  <si>
    <t>Cables y portafoco</t>
  </si>
  <si>
    <t xml:space="preserve">Carpa negra 15x4 </t>
  </si>
  <si>
    <t>Diluyente</t>
  </si>
  <si>
    <t>Pollitas HyLine Brown</t>
  </si>
  <si>
    <t>Balanceado Inicio</t>
  </si>
  <si>
    <t>Maiz molido 30 kg</t>
  </si>
  <si>
    <t>Stop Stress</t>
  </si>
  <si>
    <t>Balanza miligramo</t>
  </si>
  <si>
    <t>Balde para agua</t>
  </si>
  <si>
    <t>Vacunas</t>
  </si>
  <si>
    <t>Personal vacunación</t>
  </si>
  <si>
    <t>Personal control</t>
  </si>
  <si>
    <t>Bebederos pendulares</t>
  </si>
  <si>
    <t>Despique</t>
  </si>
  <si>
    <t>Personal despique</t>
  </si>
  <si>
    <t>Febenlasca 1L</t>
  </si>
  <si>
    <t>Balanceado Crecimiento</t>
  </si>
  <si>
    <t>Bolsas de balanceado</t>
  </si>
  <si>
    <t>Venialvos</t>
  </si>
  <si>
    <t>Promotor L47 1 L</t>
  </si>
  <si>
    <t>Balanceado Ponedora</t>
  </si>
  <si>
    <t>Huevo C</t>
  </si>
  <si>
    <t>Huevo menudeo</t>
  </si>
  <si>
    <t>Huevo B</t>
  </si>
  <si>
    <t>Ani</t>
  </si>
  <si>
    <t>Coti</t>
  </si>
  <si>
    <t>Locote</t>
  </si>
  <si>
    <t>Oscar</t>
  </si>
  <si>
    <t>Fredi</t>
  </si>
  <si>
    <t>Kiti</t>
  </si>
  <si>
    <t>Luz Villasanti</t>
  </si>
  <si>
    <t>Vecinos</t>
  </si>
  <si>
    <t>Panadería</t>
  </si>
  <si>
    <t>Ña Ernesta</t>
  </si>
  <si>
    <t>Cubetas</t>
  </si>
  <si>
    <t>Huevo picado</t>
  </si>
  <si>
    <t>Edelio</t>
  </si>
  <si>
    <t>Walter</t>
  </si>
  <si>
    <t>Dalila</t>
  </si>
  <si>
    <t>Huevo A</t>
  </si>
  <si>
    <t>Ña Oso</t>
  </si>
  <si>
    <t>Cubeta blanca</t>
  </si>
  <si>
    <t>Cubeta verde</t>
  </si>
  <si>
    <t>falta pagar 281000</t>
  </si>
  <si>
    <t>Elsa</t>
  </si>
  <si>
    <t>Huevo S</t>
  </si>
  <si>
    <t>Blanqui</t>
  </si>
  <si>
    <t>Magali Ovelar</t>
  </si>
  <si>
    <t>Seltz</t>
  </si>
  <si>
    <t>Cal agricola en grano</t>
  </si>
  <si>
    <t>Zuni SM</t>
  </si>
  <si>
    <t>Antonio Guayaki</t>
  </si>
  <si>
    <t>Pato</t>
  </si>
  <si>
    <t>falta cobrar</t>
  </si>
  <si>
    <t>Esteban</t>
  </si>
  <si>
    <t>S</t>
  </si>
  <si>
    <t>C</t>
  </si>
  <si>
    <t>B</t>
  </si>
  <si>
    <t>A</t>
  </si>
  <si>
    <t>Dulce Anita</t>
  </si>
  <si>
    <t>Tia Primi</t>
  </si>
  <si>
    <t>Chili</t>
  </si>
  <si>
    <t>Mari uñas</t>
  </si>
  <si>
    <t>Santiago</t>
  </si>
  <si>
    <t>Xtina</t>
  </si>
  <si>
    <t>Tia Lourdes</t>
  </si>
  <si>
    <t>Alianza</t>
  </si>
  <si>
    <t>Ña Ingrid</t>
  </si>
  <si>
    <t>Fada</t>
  </si>
  <si>
    <t>Alison</t>
  </si>
  <si>
    <t>Profes FCQ</t>
  </si>
  <si>
    <t>Irma Lopez</t>
  </si>
  <si>
    <t>Lourdes</t>
  </si>
  <si>
    <t>Ingrid</t>
  </si>
  <si>
    <t>Oso</t>
  </si>
  <si>
    <t>Ernesta</t>
  </si>
  <si>
    <t>Tio Teo</t>
  </si>
  <si>
    <t>Male</t>
  </si>
  <si>
    <t>David</t>
  </si>
  <si>
    <t>Ramon Guayaki</t>
  </si>
  <si>
    <t>Rebe Smith</t>
  </si>
  <si>
    <t>Julio</t>
  </si>
  <si>
    <t>J</t>
  </si>
  <si>
    <t>Despensa Lucero</t>
  </si>
  <si>
    <t>Noelia</t>
  </si>
  <si>
    <t>Mercado</t>
  </si>
  <si>
    <t>Pastora</t>
  </si>
  <si>
    <t>Derlis Paredes</t>
  </si>
  <si>
    <t>Abner</t>
  </si>
  <si>
    <t>Derlis</t>
  </si>
  <si>
    <t>Don Barreto</t>
  </si>
  <si>
    <t>Marian Elenice</t>
  </si>
  <si>
    <t>Monti</t>
  </si>
  <si>
    <t>Arguello</t>
  </si>
  <si>
    <t>Norma</t>
  </si>
  <si>
    <t>Tia Leo</t>
  </si>
  <si>
    <t>Liz</t>
  </si>
  <si>
    <t>Maria Cardozo</t>
  </si>
  <si>
    <t>Pilarense</t>
  </si>
  <si>
    <t>Achi</t>
  </si>
  <si>
    <t>Andrecito despensa</t>
  </si>
  <si>
    <t>Jubinacio</t>
  </si>
  <si>
    <t>Ña Ana</t>
  </si>
  <si>
    <t>Agus</t>
  </si>
  <si>
    <t>Lala</t>
  </si>
  <si>
    <t>Ysapy</t>
  </si>
  <si>
    <t>Nenito</t>
  </si>
  <si>
    <t>Albañiles</t>
  </si>
  <si>
    <t>Epifanio</t>
  </si>
  <si>
    <t>Makley burger</t>
  </si>
  <si>
    <t>Chiqui Lopez</t>
  </si>
  <si>
    <t>Perla Mercado</t>
  </si>
  <si>
    <t>Cristian</t>
  </si>
  <si>
    <t>Claudio</t>
  </si>
  <si>
    <t>Copetin Claudia</t>
  </si>
  <si>
    <t>Diego Caceres</t>
  </si>
  <si>
    <t>Benito</t>
  </si>
  <si>
    <t>Alem motosierras</t>
  </si>
  <si>
    <t>Beto largo</t>
  </si>
  <si>
    <t>Promo 84</t>
  </si>
  <si>
    <t>BOLSAS</t>
  </si>
  <si>
    <t>Lomiteria</t>
  </si>
  <si>
    <t>GALLINAZA</t>
  </si>
  <si>
    <t>P</t>
  </si>
  <si>
    <t>Precio promedio</t>
  </si>
  <si>
    <t>Viajes</t>
  </si>
  <si>
    <t>Combustible</t>
  </si>
  <si>
    <t>Precios</t>
  </si>
  <si>
    <t>Balanceado</t>
  </si>
  <si>
    <t>Personal</t>
  </si>
  <si>
    <t>Costos</t>
  </si>
  <si>
    <t>Personales</t>
  </si>
  <si>
    <t>Gs/L</t>
  </si>
  <si>
    <t>Gs/unidad</t>
  </si>
  <si>
    <t>Gs/bolsa</t>
  </si>
  <si>
    <t>Gs/dia</t>
  </si>
  <si>
    <t>Agua</t>
  </si>
  <si>
    <t>Vitaminas, etc</t>
  </si>
  <si>
    <t>TOTAL COSTOS</t>
  </si>
  <si>
    <t>TOTAL INGRESOS</t>
  </si>
  <si>
    <t>TOTAL GANACIA</t>
  </si>
  <si>
    <t>TOTAL GANANCIA</t>
  </si>
  <si>
    <t>Ventas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</si>
  <si>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</si>
  <si>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</si>
  <si>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</si>
  <si>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</si>
  <si>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</si>
  <si>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</si>
  <si>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</si>
  <si>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</si>
  <si>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</si>
  <si>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</si>
  <si>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</si>
  <si>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</si>
  <si>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por año</t>
  </si>
  <si>
    <t>por mes</t>
  </si>
  <si>
    <t>por lote</t>
  </si>
  <si>
    <t>2 gallineros cargados</t>
  </si>
  <si>
    <t>%</t>
  </si>
  <si>
    <t>PI</t>
  </si>
  <si>
    <t>Lincoln</t>
  </si>
  <si>
    <t>Isidro</t>
  </si>
  <si>
    <t>Esteban Lucero</t>
  </si>
  <si>
    <t>Familia</t>
  </si>
  <si>
    <t>Rebe</t>
  </si>
  <si>
    <t>Diego</t>
  </si>
  <si>
    <t>Dulce A</t>
  </si>
  <si>
    <t>Laura Orquiola</t>
  </si>
  <si>
    <t>Carlos Perez</t>
  </si>
  <si>
    <t>Calle 1 80</t>
  </si>
  <si>
    <t>Repartidor</t>
  </si>
  <si>
    <t>Pedro</t>
  </si>
  <si>
    <t>Kambuchi</t>
  </si>
  <si>
    <t>Joel</t>
  </si>
  <si>
    <t>Sabor urbano</t>
  </si>
  <si>
    <t>Tio doctor</t>
  </si>
  <si>
    <t>Carmencita</t>
  </si>
  <si>
    <t>Jacque</t>
  </si>
  <si>
    <t>Lucio</t>
  </si>
  <si>
    <t>Fatima Esteche</t>
  </si>
  <si>
    <t>Tio Hugo</t>
  </si>
  <si>
    <t>Gloria Corina</t>
  </si>
  <si>
    <t>Mercado Fresco</t>
  </si>
  <si>
    <t>Bolsas 1</t>
  </si>
  <si>
    <t>Bolsas 2</t>
  </si>
  <si>
    <t>Noemi</t>
  </si>
  <si>
    <t>Pan Fresco</t>
  </si>
  <si>
    <t>Perla</t>
  </si>
  <si>
    <t>Chicas DA</t>
  </si>
  <si>
    <t>Promo84</t>
  </si>
  <si>
    <t>ProfMirian</t>
  </si>
  <si>
    <t>JoelGuajaki</t>
  </si>
  <si>
    <t>Miguel</t>
  </si>
  <si>
    <t>LucioOrtiz</t>
  </si>
  <si>
    <t>Nena</t>
  </si>
  <si>
    <t>JoelSaborUrbano</t>
  </si>
  <si>
    <t>Random</t>
  </si>
  <si>
    <t>Gonzalito</t>
  </si>
  <si>
    <t>MariaCardozo</t>
  </si>
  <si>
    <t>DiegoCaceres</t>
  </si>
  <si>
    <t>Ale</t>
  </si>
  <si>
    <t>Tios</t>
  </si>
  <si>
    <t>Ña Tina</t>
  </si>
  <si>
    <t>Genes</t>
  </si>
  <si>
    <t>Amigos</t>
  </si>
  <si>
    <t>ÑaChinati</t>
  </si>
  <si>
    <t>DMercado</t>
  </si>
  <si>
    <t>por plancha</t>
  </si>
  <si>
    <t xml:space="preserve">ingreso mensual promedio 2000 aves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</si>
</sst>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dd/mm/yyyy;@"/>
    <numFmt numFmtId="165" formatCode="_ * #,##0.0_ ;_ * \-#,##0.0_ ;_ 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1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1" fontId="2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41" fontId="0" fillId="0" borderId="0" xfId="1" applyFont="1"/>
    <xf numFmtId="41" fontId="0" fillId="0" borderId="3" xfId="1" applyFont="1" applyBorder="1"/>
    <xf numFmtId="41" fontId="0" fillId="0" borderId="4" xfId="1" applyFont="1" applyBorder="1"/>
    <xf numFmtId="164" fontId="0" fillId="0" borderId="5" xfId="0" applyNumberFormat="1" applyBorder="1"/>
    <xf numFmtId="41" fontId="0" fillId="0" borderId="5" xfId="1" applyFont="1" applyBorder="1"/>
    <xf numFmtId="41" fontId="0" fillId="0" borderId="6" xfId="1" applyFont="1" applyBorder="1"/>
    <xf numFmtId="0" fontId="0" fillId="0" borderId="5" xfId="0" applyBorder="1"/>
    <xf numFmtId="41" fontId="0" fillId="0" borderId="4" xfId="1" applyFont="1" applyFill="1" applyBorder="1"/>
    <xf numFmtId="41" fontId="0" fillId="0" borderId="0" xfId="1" applyFont="1" applyBorder="1"/>
    <xf numFmtId="41" fontId="0" fillId="0" borderId="7" xfId="1" applyFont="1" applyBorder="1"/>
    <xf numFmtId="41" fontId="0" fillId="0" borderId="2" xfId="1" applyFont="1" applyBorder="1"/>
    <xf numFmtId="41" fontId="0" fillId="0" borderId="8" xfId="1" applyFont="1" applyBorder="1"/>
    <xf numFmtId="41" fontId="0" fillId="2" borderId="0" xfId="1" applyFont="1" applyFill="1"/>
    <xf numFmtId="41" fontId="0" fillId="2" borderId="2" xfId="1" applyFont="1" applyFill="1" applyBorder="1"/>
    <xf numFmtId="0" fontId="0" fillId="2" borderId="0" xfId="0" applyFill="1"/>
    <xf numFmtId="41" fontId="0" fillId="2" borderId="0" xfId="1" applyFont="1" applyFill="1" applyBorder="1"/>
    <xf numFmtId="41" fontId="0" fillId="3" borderId="0" xfId="1" applyFont="1" applyFill="1"/>
    <xf numFmtId="0" fontId="0" fillId="3" borderId="0" xfId="0" applyFill="1"/>
    <xf numFmtId="41" fontId="0" fillId="0" borderId="0" xfId="0" applyNumberFormat="1"/>
    <xf numFmtId="14" fontId="0" fillId="0" borderId="0" xfId="0" applyNumberFormat="1"/>
    <xf numFmtId="164" fontId="0" fillId="0" borderId="9" xfId="0" applyNumberFormat="1" applyBorder="1"/>
    <xf numFmtId="0" fontId="0" fillId="0" borderId="9" xfId="0" applyBorder="1"/>
    <xf numFmtId="41" fontId="0" fillId="0" borderId="9" xfId="1" applyFont="1" applyBorder="1"/>
    <xf numFmtId="41" fontId="2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0" xfId="0" applyFont="1" applyBorder="1"/>
    <xf numFmtId="41" fontId="2" fillId="0" borderId="11" xfId="1" applyFont="1" applyBorder="1"/>
    <xf numFmtId="41" fontId="2" fillId="0" borderId="9" xfId="1" applyFont="1" applyFill="1" applyBorder="1" applyAlignment="1">
      <alignment horizontal="center" vertical="center"/>
    </xf>
    <xf numFmtId="1" fontId="0" fillId="0" borderId="0" xfId="0" applyNumberFormat="1"/>
    <xf numFmtId="17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center"/>
    </xf>
  </cellXfs>
  <cellStyles count="2">
    <cellStyle name="Millares [0]" xfId="1" builtinId="6"/>
    <cellStyle name="Normal" xfId="0" builtinId="0"/>
  </cellStyles>
  <dxfs count="4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ropbox\GRANJA\GALLINAS\Lote%202%20-%20Galp&#243;n%201\Control%20Lote%202.xlsx" TargetMode="External"/><Relationship Id="rId1" Type="http://schemas.openxmlformats.org/officeDocument/2006/relationships/externalLinkPath" Target="Lote%202%20-%20Galp&#243;n%201/Control%20Lote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g-Egr"/>
      <sheetName val="Ingresos"/>
      <sheetName val="Egresos"/>
      <sheetName val="Puesta L2"/>
      <sheetName val="Control L2"/>
      <sheetName val="Manual Hyline"/>
    </sheetNames>
    <sheetDataSet>
      <sheetData sheetId="0"/>
      <sheetData sheetId="1"/>
      <sheetData sheetId="2">
        <row r="11">
          <cell r="E11" t="str">
            <v>Cooka</v>
          </cell>
        </row>
        <row r="73">
          <cell r="E73" t="str">
            <v>Cooka</v>
          </cell>
        </row>
        <row r="74">
          <cell r="E74" t="str">
            <v>Cooka</v>
          </cell>
        </row>
        <row r="85">
          <cell r="E85" t="str">
            <v>Cooka</v>
          </cell>
        </row>
        <row r="86">
          <cell r="E86" t="str">
            <v>Coti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3E87-F700-4212-BA12-AE0E96F64F6A}">
  <dimension ref="A1:L16"/>
  <sheetViews>
    <sheetView workbookViewId="0">
      <selection activeCell="F16" sqref="F16"/>
    </sheetView>
  </sheetViews>
  <sheetFormatPr baseColWidth="10" defaultRowHeight="15" x14ac:dyDescent="0.25"/>
  <cols>
    <col min="5" max="5" width="12" style="9" bestFit="1" customWidth="1"/>
    <col min="6" max="6" width="12.5703125" bestFit="1" customWidth="1"/>
    <col min="8" max="8" width="12" bestFit="1" customWidth="1"/>
  </cols>
  <sheetData>
    <row r="1" spans="1:12" x14ac:dyDescent="0.25">
      <c r="B1">
        <v>2023</v>
      </c>
      <c r="C1">
        <v>2024</v>
      </c>
    </row>
    <row r="2" spans="1:12" x14ac:dyDescent="0.25">
      <c r="A2" t="s">
        <v>157</v>
      </c>
      <c r="C2" s="27">
        <f>+'Ingresos 2024'!I15</f>
        <v>10110714.285714284</v>
      </c>
    </row>
    <row r="3" spans="1:12" x14ac:dyDescent="0.25">
      <c r="A3" t="s">
        <v>158</v>
      </c>
      <c r="B3" s="27">
        <f>+'Ingresos 2023'!J19</f>
        <v>2283600</v>
      </c>
      <c r="C3" s="27">
        <f>+'Ingresos 2024'!I122</f>
        <v>10469071.428571429</v>
      </c>
    </row>
    <row r="4" spans="1:12" x14ac:dyDescent="0.25">
      <c r="A4" t="s">
        <v>159</v>
      </c>
      <c r="B4" s="27">
        <f>+'Ingresos 2023'!J86</f>
        <v>15288600</v>
      </c>
      <c r="C4" s="27">
        <f>+'Ingresos 2024'!I269</f>
        <v>27516714.285714284</v>
      </c>
    </row>
    <row r="5" spans="1:12" x14ac:dyDescent="0.25">
      <c r="A5" t="s">
        <v>160</v>
      </c>
      <c r="B5" s="27">
        <f>+'Ingresos 2023'!J158</f>
        <v>14433500</v>
      </c>
      <c r="C5" s="27"/>
      <c r="G5">
        <v>2024</v>
      </c>
      <c r="H5" s="9">
        <v>110000000</v>
      </c>
    </row>
    <row r="6" spans="1:12" x14ac:dyDescent="0.25">
      <c r="A6" t="s">
        <v>161</v>
      </c>
      <c r="B6" s="27">
        <f>+'Ingresos 2023'!J236</f>
        <v>19622500</v>
      </c>
      <c r="G6">
        <v>2023</v>
      </c>
      <c r="H6" s="9">
        <f>160000000-70000000</f>
        <v>90000000</v>
      </c>
    </row>
    <row r="7" spans="1:12" x14ac:dyDescent="0.25">
      <c r="A7" t="s">
        <v>162</v>
      </c>
      <c r="B7" s="27">
        <f>+'Ingresos 2023'!J325</f>
        <v>16771500</v>
      </c>
      <c r="G7" t="s">
        <v>171</v>
      </c>
      <c r="H7" s="9">
        <f>+H5+H6</f>
        <v>200000000</v>
      </c>
      <c r="K7" s="37">
        <f>+H7*100/60000000</f>
        <v>333.33333333333331</v>
      </c>
      <c r="L7" t="s">
        <v>173</v>
      </c>
    </row>
    <row r="8" spans="1:12" x14ac:dyDescent="0.25">
      <c r="A8" t="s">
        <v>163</v>
      </c>
      <c r="B8" s="27">
        <f>+'Ingresos 2023'!J407</f>
        <v>14122500</v>
      </c>
      <c r="G8" t="s">
        <v>169</v>
      </c>
      <c r="H8" s="9">
        <f>+H7/2</f>
        <v>100000000</v>
      </c>
      <c r="K8" s="37">
        <f>+H8*100/60000000</f>
        <v>166.66666666666666</v>
      </c>
      <c r="L8" t="s">
        <v>173</v>
      </c>
    </row>
    <row r="9" spans="1:12" x14ac:dyDescent="0.25">
      <c r="A9" t="s">
        <v>164</v>
      </c>
      <c r="B9" s="27">
        <f>+'Ingresos 2023'!J489</f>
        <v>16654000</v>
      </c>
      <c r="G9" t="s">
        <v>170</v>
      </c>
      <c r="H9" s="9">
        <f>+H8/12</f>
        <v>8333333.333333333</v>
      </c>
      <c r="K9" s="37">
        <f>+H9*100/60000000</f>
        <v>13.888888888888888</v>
      </c>
      <c r="L9" t="s">
        <v>173</v>
      </c>
    </row>
    <row r="10" spans="1:12" x14ac:dyDescent="0.25">
      <c r="A10" t="s">
        <v>165</v>
      </c>
      <c r="B10" s="27">
        <f>+'Ingresos 2023'!J593</f>
        <v>7792000</v>
      </c>
      <c r="H10" s="9"/>
    </row>
    <row r="11" spans="1:12" x14ac:dyDescent="0.25">
      <c r="A11" t="s">
        <v>166</v>
      </c>
      <c r="B11" s="27">
        <f>+'Ingresos 2023'!J681</f>
        <v>16975142.857142858</v>
      </c>
      <c r="H11" s="9"/>
    </row>
    <row r="12" spans="1:12" x14ac:dyDescent="0.25">
      <c r="A12" t="s">
        <v>167</v>
      </c>
      <c r="B12" s="27">
        <f>+'Ingresos 2023'!J799</f>
        <v>12457428.571428571</v>
      </c>
      <c r="G12" t="s">
        <v>172</v>
      </c>
      <c r="H12" s="9"/>
      <c r="I12" s="9">
        <f>+H9+H9*1.3/2</f>
        <v>13750000</v>
      </c>
    </row>
    <row r="13" spans="1:12" x14ac:dyDescent="0.25">
      <c r="A13" t="s">
        <v>168</v>
      </c>
      <c r="B13" s="27">
        <f>+'Ingresos 2023'!J901</f>
        <v>8669714.2857142836</v>
      </c>
    </row>
    <row r="15" spans="1:12" x14ac:dyDescent="0.25">
      <c r="E15" s="9">
        <v>13613000</v>
      </c>
      <c r="F15" t="s">
        <v>223</v>
      </c>
    </row>
    <row r="16" spans="1:12" x14ac:dyDescent="0.25">
      <c r="E16" s="9">
        <f>+E15/1800</f>
        <v>7562.7777777777774</v>
      </c>
      <c r="F16" t="s">
        <v>222</v>
      </c>
    </row>
  </sheetData>
  <phoneticPr fontId="3" type="noConversion"/>
  <conditionalFormatting sqref="B2:C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5C42-19D9-44BC-A449-59D623E95B0B}">
  <dimension ref="A1:N1134"/>
  <sheetViews>
    <sheetView zoomScale="80" zoomScaleNormal="80" workbookViewId="0">
      <pane ySplit="1" topLeftCell="A2" activePane="bottomLeft" state="frozen"/>
      <selection pane="bottomLeft" activeCell="J6" sqref="J6"/>
    </sheetView>
  </sheetViews>
  <sheetFormatPr baseColWidth="10" defaultColWidth="9.140625" defaultRowHeight="15" x14ac:dyDescent="0.25"/>
  <cols>
    <col min="1" max="1" width="11.5703125" style="8" bestFit="1" customWidth="1"/>
    <col min="2" max="2" width="17.42578125" bestFit="1" customWidth="1"/>
    <col min="4" max="4" width="16.42578125" customWidth="1"/>
    <col min="5" max="5" width="14.140625" style="9" bestFit="1" customWidth="1"/>
    <col min="6" max="6" width="13" style="9" bestFit="1" customWidth="1"/>
    <col min="7" max="7" width="15.7109375" style="9" bestFit="1" customWidth="1"/>
    <col min="9" max="9" width="17" bestFit="1" customWidth="1"/>
    <col min="10" max="10" width="16.85546875" style="9" bestFit="1" customWidth="1"/>
    <col min="12" max="12" width="13.5703125" bestFit="1" customWidth="1"/>
    <col min="14" max="14" width="11.5703125" bestFit="1" customWidth="1"/>
  </cols>
  <sheetData>
    <row r="1" spans="1:14" x14ac:dyDescent="0.25">
      <c r="A1" s="1" t="s">
        <v>0</v>
      </c>
      <c r="B1" s="3" t="s">
        <v>6</v>
      </c>
      <c r="C1" s="3" t="s">
        <v>4</v>
      </c>
      <c r="D1" s="2" t="s">
        <v>3</v>
      </c>
      <c r="E1" s="2" t="s">
        <v>5</v>
      </c>
      <c r="F1" s="2" t="s">
        <v>156</v>
      </c>
      <c r="G1" s="2" t="s">
        <v>138</v>
      </c>
    </row>
    <row r="2" spans="1:14" x14ac:dyDescent="0.25">
      <c r="A2" s="5"/>
      <c r="B2" s="7"/>
      <c r="C2" s="7">
        <f>+SUM(C4:C1000)</f>
        <v>17705</v>
      </c>
      <c r="D2" s="7"/>
      <c r="E2" s="6"/>
      <c r="F2" s="6">
        <f>+SUM(F3:F1000)</f>
        <v>388554000</v>
      </c>
      <c r="G2" s="9">
        <f>+F2/C2</f>
        <v>21946.003953685398</v>
      </c>
    </row>
    <row r="3" spans="1:14" x14ac:dyDescent="0.25">
      <c r="A3" s="8">
        <v>44953</v>
      </c>
      <c r="C3">
        <v>280</v>
      </c>
      <c r="D3" t="s">
        <v>31</v>
      </c>
      <c r="E3" s="9">
        <f t="shared" ref="E3:E49" si="0">+F3/C3</f>
        <v>500</v>
      </c>
      <c r="F3" s="9">
        <v>140000</v>
      </c>
    </row>
    <row r="4" spans="1:14" x14ac:dyDescent="0.25">
      <c r="A4" s="8">
        <v>44956</v>
      </c>
      <c r="C4">
        <v>10</v>
      </c>
      <c r="D4" t="s">
        <v>70</v>
      </c>
      <c r="E4" s="9">
        <f t="shared" si="0"/>
        <v>15000</v>
      </c>
      <c r="F4" s="9">
        <v>150000</v>
      </c>
    </row>
    <row r="5" spans="1:14" x14ac:dyDescent="0.25">
      <c r="A5" s="8">
        <v>44957</v>
      </c>
      <c r="C5">
        <v>1</v>
      </c>
      <c r="D5" t="s">
        <v>70</v>
      </c>
      <c r="E5" s="17">
        <f t="shared" si="0"/>
        <v>20000</v>
      </c>
      <c r="F5" s="17">
        <v>20000</v>
      </c>
    </row>
    <row r="6" spans="1:14" s="30" customFormat="1" x14ac:dyDescent="0.25">
      <c r="A6" s="29">
        <v>44958</v>
      </c>
      <c r="C6" s="30">
        <v>11</v>
      </c>
      <c r="D6" s="30" t="s">
        <v>70</v>
      </c>
      <c r="E6" s="31">
        <f t="shared" si="0"/>
        <v>18000</v>
      </c>
      <c r="F6" s="31">
        <v>198000</v>
      </c>
      <c r="G6" s="31">
        <f>+SUM(F6:F72)/SUM(C6:C72)</f>
        <v>19769.011406844107</v>
      </c>
      <c r="I6" s="36" t="s">
        <v>139</v>
      </c>
      <c r="J6" s="31">
        <v>24</v>
      </c>
      <c r="M6" s="31"/>
    </row>
    <row r="7" spans="1:14" x14ac:dyDescent="0.25">
      <c r="A7" s="8">
        <v>44959</v>
      </c>
      <c r="C7">
        <v>15</v>
      </c>
      <c r="D7" t="s">
        <v>36</v>
      </c>
      <c r="E7" s="17">
        <f t="shared" si="0"/>
        <v>666.66666666666663</v>
      </c>
      <c r="F7" s="9">
        <v>10000</v>
      </c>
      <c r="M7" s="9"/>
    </row>
    <row r="8" spans="1:14" x14ac:dyDescent="0.25">
      <c r="A8" s="8">
        <v>44962</v>
      </c>
      <c r="B8" t="s">
        <v>38</v>
      </c>
      <c r="C8">
        <v>10</v>
      </c>
      <c r="D8" t="s">
        <v>71</v>
      </c>
      <c r="E8" s="17">
        <f t="shared" si="0"/>
        <v>18000</v>
      </c>
      <c r="F8" s="9">
        <v>180000</v>
      </c>
      <c r="I8" s="33" t="s">
        <v>144</v>
      </c>
      <c r="J8" s="33"/>
      <c r="L8" s="33" t="s">
        <v>141</v>
      </c>
      <c r="M8" s="33"/>
    </row>
    <row r="9" spans="1:14" x14ac:dyDescent="0.25">
      <c r="A9" s="8">
        <v>44963</v>
      </c>
      <c r="B9" t="s">
        <v>39</v>
      </c>
      <c r="C9">
        <v>35</v>
      </c>
      <c r="D9" t="s">
        <v>70</v>
      </c>
      <c r="E9" s="17">
        <f t="shared" si="0"/>
        <v>17000</v>
      </c>
      <c r="F9" s="9">
        <v>595000</v>
      </c>
      <c r="I9" t="s">
        <v>139</v>
      </c>
      <c r="J9" s="17">
        <f>60/100*9*M9*J6</f>
        <v>971999.99999999977</v>
      </c>
      <c r="L9" t="s">
        <v>140</v>
      </c>
      <c r="M9" s="9">
        <v>7500</v>
      </c>
      <c r="N9" t="s">
        <v>146</v>
      </c>
    </row>
    <row r="10" spans="1:14" x14ac:dyDescent="0.25">
      <c r="A10" s="8">
        <v>44963</v>
      </c>
      <c r="B10" t="s">
        <v>42</v>
      </c>
      <c r="C10">
        <v>15</v>
      </c>
      <c r="D10" t="s">
        <v>71</v>
      </c>
      <c r="E10" s="17">
        <f t="shared" si="0"/>
        <v>19000</v>
      </c>
      <c r="F10" s="9">
        <v>285000</v>
      </c>
      <c r="I10" t="s">
        <v>48</v>
      </c>
      <c r="J10" s="9">
        <f>+SUM(C6:C72)*M10</f>
        <v>526000</v>
      </c>
      <c r="L10" t="s">
        <v>48</v>
      </c>
      <c r="M10" s="9">
        <v>500</v>
      </c>
      <c r="N10" t="s">
        <v>147</v>
      </c>
    </row>
    <row r="11" spans="1:14" x14ac:dyDescent="0.25">
      <c r="A11" s="8">
        <v>44964</v>
      </c>
      <c r="B11" t="s">
        <v>43</v>
      </c>
      <c r="C11">
        <v>5</v>
      </c>
      <c r="D11" t="s">
        <v>70</v>
      </c>
      <c r="E11" s="9">
        <f t="shared" si="0"/>
        <v>17800</v>
      </c>
      <c r="F11" s="9">
        <v>89000</v>
      </c>
      <c r="I11" t="s">
        <v>142</v>
      </c>
      <c r="J11" s="9">
        <f>8.6*28*M11</f>
        <v>15170399.999999998</v>
      </c>
      <c r="L11" t="s">
        <v>142</v>
      </c>
      <c r="M11" s="9">
        <v>63000</v>
      </c>
      <c r="N11" t="s">
        <v>148</v>
      </c>
    </row>
    <row r="12" spans="1:14" x14ac:dyDescent="0.25">
      <c r="B12" t="s">
        <v>44</v>
      </c>
      <c r="C12">
        <v>3</v>
      </c>
      <c r="D12" t="s">
        <v>71</v>
      </c>
      <c r="E12" s="9">
        <f t="shared" si="0"/>
        <v>20000</v>
      </c>
      <c r="F12" s="9">
        <v>60000</v>
      </c>
      <c r="I12" t="s">
        <v>145</v>
      </c>
      <c r="J12" s="9">
        <f>+M12*28</f>
        <v>1680000</v>
      </c>
      <c r="L12" t="s">
        <v>143</v>
      </c>
      <c r="M12" s="9">
        <v>60000</v>
      </c>
      <c r="N12" t="s">
        <v>149</v>
      </c>
    </row>
    <row r="13" spans="1:14" x14ac:dyDescent="0.25">
      <c r="B13" t="s">
        <v>38</v>
      </c>
      <c r="C13">
        <v>3</v>
      </c>
      <c r="D13" t="s">
        <v>71</v>
      </c>
      <c r="E13" s="9">
        <f t="shared" si="0"/>
        <v>18000</v>
      </c>
      <c r="F13" s="9">
        <v>54000</v>
      </c>
      <c r="I13" t="s">
        <v>150</v>
      </c>
      <c r="J13" s="9">
        <v>15000</v>
      </c>
      <c r="K13" s="27"/>
      <c r="M13" s="9"/>
    </row>
    <row r="14" spans="1:14" x14ac:dyDescent="0.25">
      <c r="A14" s="8">
        <v>44965</v>
      </c>
      <c r="B14" t="s">
        <v>38</v>
      </c>
      <c r="C14">
        <v>5</v>
      </c>
      <c r="D14" t="s">
        <v>71</v>
      </c>
      <c r="E14" s="9">
        <f t="shared" si="0"/>
        <v>18000</v>
      </c>
      <c r="F14" s="9">
        <v>90000</v>
      </c>
      <c r="I14" t="s">
        <v>151</v>
      </c>
      <c r="J14" s="9">
        <v>150000</v>
      </c>
      <c r="M14" s="9"/>
    </row>
    <row r="15" spans="1:14" x14ac:dyDescent="0.25">
      <c r="A15" s="8">
        <v>44967</v>
      </c>
      <c r="B15" t="s">
        <v>45</v>
      </c>
      <c r="C15">
        <v>1</v>
      </c>
      <c r="D15" t="s">
        <v>71</v>
      </c>
      <c r="E15" s="9">
        <f t="shared" si="0"/>
        <v>20000</v>
      </c>
      <c r="F15" s="9">
        <v>20000</v>
      </c>
      <c r="I15" t="s">
        <v>152</v>
      </c>
      <c r="J15" s="9">
        <f>+SUM(J9:J14)</f>
        <v>18513400</v>
      </c>
      <c r="N15" s="9"/>
    </row>
    <row r="16" spans="1:14" x14ac:dyDescent="0.25">
      <c r="B16" t="s">
        <v>46</v>
      </c>
      <c r="C16">
        <v>2</v>
      </c>
      <c r="D16" t="s">
        <v>71</v>
      </c>
      <c r="E16" s="9">
        <f t="shared" si="0"/>
        <v>21000</v>
      </c>
      <c r="F16" s="9">
        <v>42000</v>
      </c>
      <c r="M16" s="9"/>
    </row>
    <row r="17" spans="1:13" x14ac:dyDescent="0.25">
      <c r="B17" t="s">
        <v>47</v>
      </c>
      <c r="C17">
        <v>10</v>
      </c>
      <c r="D17" t="s">
        <v>71</v>
      </c>
      <c r="E17" s="9">
        <f t="shared" si="0"/>
        <v>20000</v>
      </c>
      <c r="F17" s="9">
        <v>200000</v>
      </c>
      <c r="I17" t="s">
        <v>153</v>
      </c>
      <c r="J17" s="9">
        <f>+SUM(F6:F72)</f>
        <v>20797000</v>
      </c>
      <c r="M17" s="9"/>
    </row>
    <row r="18" spans="1:13" ht="15.75" thickBot="1" x14ac:dyDescent="0.3">
      <c r="B18" t="s">
        <v>45</v>
      </c>
      <c r="C18">
        <v>2</v>
      </c>
      <c r="D18" t="s">
        <v>49</v>
      </c>
      <c r="E18" s="9">
        <f t="shared" si="0"/>
        <v>10000</v>
      </c>
      <c r="F18" s="9">
        <v>20000</v>
      </c>
      <c r="M18" s="9"/>
    </row>
    <row r="19" spans="1:13" ht="15.75" thickBot="1" x14ac:dyDescent="0.3">
      <c r="B19" t="s">
        <v>39</v>
      </c>
      <c r="C19">
        <v>25</v>
      </c>
      <c r="D19" t="s">
        <v>70</v>
      </c>
      <c r="E19" s="9">
        <f t="shared" si="0"/>
        <v>17000</v>
      </c>
      <c r="F19" s="9">
        <v>425000</v>
      </c>
      <c r="I19" s="34" t="s">
        <v>155</v>
      </c>
      <c r="J19" s="35">
        <f>+J17-J15</f>
        <v>2283600</v>
      </c>
      <c r="M19" s="9"/>
    </row>
    <row r="20" spans="1:13" x14ac:dyDescent="0.25">
      <c r="A20" s="8">
        <v>44969</v>
      </c>
      <c r="B20" t="s">
        <v>50</v>
      </c>
      <c r="C20">
        <v>3</v>
      </c>
      <c r="D20" t="s">
        <v>70</v>
      </c>
      <c r="E20" s="9">
        <f t="shared" si="0"/>
        <v>18000</v>
      </c>
      <c r="F20" s="9">
        <v>54000</v>
      </c>
    </row>
    <row r="21" spans="1:13" x14ac:dyDescent="0.25">
      <c r="A21" s="8">
        <v>44970</v>
      </c>
      <c r="B21" t="s">
        <v>38</v>
      </c>
      <c r="C21">
        <v>5</v>
      </c>
      <c r="D21" t="s">
        <v>71</v>
      </c>
      <c r="E21" s="9">
        <f t="shared" si="0"/>
        <v>18000</v>
      </c>
      <c r="F21" s="9">
        <v>90000</v>
      </c>
    </row>
    <row r="22" spans="1:13" x14ac:dyDescent="0.25">
      <c r="B22" t="s">
        <v>52</v>
      </c>
      <c r="C22">
        <v>50</v>
      </c>
      <c r="D22" t="s">
        <v>71</v>
      </c>
      <c r="E22" s="9">
        <f t="shared" si="0"/>
        <v>20000</v>
      </c>
      <c r="F22" s="9">
        <v>1000000</v>
      </c>
    </row>
    <row r="23" spans="1:13" x14ac:dyDescent="0.25">
      <c r="B23" t="s">
        <v>42</v>
      </c>
      <c r="C23">
        <v>22</v>
      </c>
      <c r="D23" t="s">
        <v>71</v>
      </c>
      <c r="E23" s="9">
        <f t="shared" si="0"/>
        <v>19000</v>
      </c>
      <c r="F23" s="9">
        <v>418000</v>
      </c>
    </row>
    <row r="24" spans="1:13" x14ac:dyDescent="0.25">
      <c r="A24" s="8">
        <v>44971</v>
      </c>
      <c r="B24" t="s">
        <v>42</v>
      </c>
      <c r="C24">
        <v>22</v>
      </c>
      <c r="D24" t="s">
        <v>71</v>
      </c>
      <c r="E24" s="9">
        <f t="shared" si="0"/>
        <v>19000</v>
      </c>
      <c r="F24" s="9">
        <v>418000</v>
      </c>
    </row>
    <row r="25" spans="1:13" x14ac:dyDescent="0.25">
      <c r="B25" t="s">
        <v>54</v>
      </c>
      <c r="C25">
        <v>5</v>
      </c>
      <c r="D25" t="s">
        <v>72</v>
      </c>
      <c r="E25" s="9">
        <f t="shared" si="0"/>
        <v>21000</v>
      </c>
      <c r="F25" s="9">
        <v>105000</v>
      </c>
    </row>
    <row r="26" spans="1:13" x14ac:dyDescent="0.25">
      <c r="A26" s="8">
        <v>44972</v>
      </c>
      <c r="B26" t="s">
        <v>45</v>
      </c>
      <c r="C26">
        <v>1</v>
      </c>
      <c r="D26" t="s">
        <v>49</v>
      </c>
      <c r="E26" s="9">
        <f t="shared" si="0"/>
        <v>10000</v>
      </c>
      <c r="F26" s="9">
        <v>10000</v>
      </c>
    </row>
    <row r="27" spans="1:13" x14ac:dyDescent="0.25">
      <c r="B27" t="s">
        <v>39</v>
      </c>
      <c r="C27">
        <v>45</v>
      </c>
      <c r="D27" t="s">
        <v>70</v>
      </c>
      <c r="E27" s="9">
        <f t="shared" si="0"/>
        <v>17000</v>
      </c>
      <c r="F27" s="9">
        <v>765000</v>
      </c>
      <c r="J27" s="9" t="s">
        <v>57</v>
      </c>
    </row>
    <row r="28" spans="1:13" x14ac:dyDescent="0.25">
      <c r="A28" s="8">
        <v>44973</v>
      </c>
      <c r="B28" t="s">
        <v>58</v>
      </c>
      <c r="C28">
        <v>6</v>
      </c>
      <c r="D28" t="s">
        <v>70</v>
      </c>
      <c r="E28" s="9">
        <f t="shared" si="0"/>
        <v>19000</v>
      </c>
      <c r="F28" s="9">
        <v>114000</v>
      </c>
    </row>
    <row r="29" spans="1:13" x14ac:dyDescent="0.25">
      <c r="B29" t="s">
        <v>42</v>
      </c>
      <c r="C29">
        <v>12</v>
      </c>
      <c r="D29" t="s">
        <v>71</v>
      </c>
      <c r="E29" s="9">
        <f t="shared" si="0"/>
        <v>19000</v>
      </c>
      <c r="F29" s="9">
        <v>228000</v>
      </c>
    </row>
    <row r="30" spans="1:13" x14ac:dyDescent="0.25">
      <c r="B30" t="s">
        <v>52</v>
      </c>
      <c r="C30">
        <v>50</v>
      </c>
      <c r="D30" t="s">
        <v>71</v>
      </c>
      <c r="E30" s="9">
        <f t="shared" si="0"/>
        <v>20000</v>
      </c>
      <c r="F30" s="9">
        <v>1000000</v>
      </c>
    </row>
    <row r="31" spans="1:13" x14ac:dyDescent="0.25">
      <c r="C31">
        <v>2</v>
      </c>
      <c r="D31" t="s">
        <v>69</v>
      </c>
      <c r="E31" s="9">
        <f t="shared" si="0"/>
        <v>22000</v>
      </c>
      <c r="F31" s="9">
        <v>44000</v>
      </c>
    </row>
    <row r="32" spans="1:13" x14ac:dyDescent="0.25">
      <c r="C32">
        <v>4</v>
      </c>
      <c r="D32" t="s">
        <v>72</v>
      </c>
      <c r="E32" s="9">
        <f t="shared" si="0"/>
        <v>20000</v>
      </c>
      <c r="F32" s="9">
        <v>80000</v>
      </c>
    </row>
    <row r="33" spans="1:10" x14ac:dyDescent="0.25">
      <c r="C33">
        <v>3</v>
      </c>
      <c r="D33" t="s">
        <v>71</v>
      </c>
      <c r="E33" s="9">
        <f t="shared" si="0"/>
        <v>20000</v>
      </c>
      <c r="F33" s="9">
        <v>60000</v>
      </c>
    </row>
    <row r="34" spans="1:10" x14ac:dyDescent="0.25">
      <c r="A34" s="8">
        <v>44974</v>
      </c>
      <c r="B34" t="s">
        <v>42</v>
      </c>
      <c r="C34">
        <v>25</v>
      </c>
      <c r="D34" t="s">
        <v>71</v>
      </c>
      <c r="E34" s="9">
        <f t="shared" si="0"/>
        <v>19000</v>
      </c>
      <c r="F34" s="9">
        <v>475000</v>
      </c>
    </row>
    <row r="35" spans="1:10" x14ac:dyDescent="0.25">
      <c r="B35" t="s">
        <v>60</v>
      </c>
      <c r="C35">
        <v>24</v>
      </c>
      <c r="D35" t="s">
        <v>70</v>
      </c>
      <c r="E35" s="9">
        <f t="shared" si="0"/>
        <v>19000</v>
      </c>
      <c r="F35" s="9">
        <v>456000</v>
      </c>
    </row>
    <row r="36" spans="1:10" x14ac:dyDescent="0.25">
      <c r="B36" t="s">
        <v>60</v>
      </c>
      <c r="C36">
        <v>40</v>
      </c>
      <c r="D36" t="s">
        <v>71</v>
      </c>
      <c r="E36" s="9">
        <f t="shared" si="0"/>
        <v>20000</v>
      </c>
      <c r="F36" s="9">
        <v>800000</v>
      </c>
    </row>
    <row r="37" spans="1:10" x14ac:dyDescent="0.25">
      <c r="B37" t="s">
        <v>61</v>
      </c>
      <c r="C37">
        <v>2</v>
      </c>
      <c r="D37" t="s">
        <v>72</v>
      </c>
      <c r="E37" s="9">
        <f t="shared" si="0"/>
        <v>22000</v>
      </c>
      <c r="F37" s="9">
        <v>44000</v>
      </c>
    </row>
    <row r="38" spans="1:10" x14ac:dyDescent="0.25">
      <c r="A38" s="8">
        <v>44975</v>
      </c>
      <c r="B38" t="s">
        <v>47</v>
      </c>
      <c r="C38">
        <v>10</v>
      </c>
      <c r="D38" t="s">
        <v>72</v>
      </c>
      <c r="E38" s="9">
        <f t="shared" si="0"/>
        <v>22000</v>
      </c>
      <c r="F38" s="9">
        <v>220000</v>
      </c>
    </row>
    <row r="39" spans="1:10" x14ac:dyDescent="0.25">
      <c r="B39" t="s">
        <v>42</v>
      </c>
      <c r="C39">
        <v>20</v>
      </c>
      <c r="D39" t="s">
        <v>71</v>
      </c>
      <c r="E39" s="9">
        <f t="shared" si="0"/>
        <v>20000</v>
      </c>
      <c r="F39" s="9">
        <v>400000</v>
      </c>
    </row>
    <row r="40" spans="1:10" x14ac:dyDescent="0.25">
      <c r="B40" t="s">
        <v>60</v>
      </c>
      <c r="C40">
        <v>25</v>
      </c>
      <c r="D40" t="s">
        <v>71</v>
      </c>
      <c r="E40" s="9">
        <f t="shared" si="0"/>
        <v>20000</v>
      </c>
      <c r="F40" s="9">
        <v>500000</v>
      </c>
    </row>
    <row r="41" spans="1:10" x14ac:dyDescent="0.25">
      <c r="B41" t="s">
        <v>60</v>
      </c>
      <c r="C41">
        <v>5</v>
      </c>
      <c r="D41" t="s">
        <v>70</v>
      </c>
      <c r="E41" s="9">
        <f t="shared" si="0"/>
        <v>19000</v>
      </c>
      <c r="F41" s="9">
        <v>95000</v>
      </c>
    </row>
    <row r="42" spans="1:10" x14ac:dyDescent="0.25">
      <c r="A42" s="8">
        <v>44976</v>
      </c>
      <c r="B42" t="s">
        <v>38</v>
      </c>
      <c r="C42">
        <v>6</v>
      </c>
      <c r="D42" t="s">
        <v>70</v>
      </c>
      <c r="E42" s="9">
        <f t="shared" si="0"/>
        <v>18000</v>
      </c>
      <c r="F42" s="9">
        <v>108000</v>
      </c>
    </row>
    <row r="43" spans="1:10" x14ac:dyDescent="0.25">
      <c r="B43" t="s">
        <v>64</v>
      </c>
      <c r="C43">
        <v>4</v>
      </c>
      <c r="D43" t="s">
        <v>70</v>
      </c>
      <c r="E43" s="9">
        <f t="shared" si="0"/>
        <v>20000</v>
      </c>
      <c r="F43" s="9">
        <v>80000</v>
      </c>
    </row>
    <row r="44" spans="1:10" x14ac:dyDescent="0.25">
      <c r="B44" t="s">
        <v>65</v>
      </c>
      <c r="C44">
        <v>5</v>
      </c>
      <c r="D44" t="s">
        <v>72</v>
      </c>
      <c r="E44" s="9">
        <f t="shared" si="0"/>
        <v>22000</v>
      </c>
      <c r="F44" s="9">
        <v>110000</v>
      </c>
    </row>
    <row r="45" spans="1:10" x14ac:dyDescent="0.25">
      <c r="B45" t="s">
        <v>66</v>
      </c>
      <c r="C45">
        <v>20</v>
      </c>
      <c r="D45" t="s">
        <v>71</v>
      </c>
      <c r="E45" s="9">
        <f t="shared" si="0"/>
        <v>20000</v>
      </c>
      <c r="F45" s="9">
        <v>400000</v>
      </c>
      <c r="J45" s="9" t="s">
        <v>67</v>
      </c>
    </row>
    <row r="46" spans="1:10" x14ac:dyDescent="0.25">
      <c r="A46" s="8">
        <v>44977</v>
      </c>
      <c r="B46" t="s">
        <v>52</v>
      </c>
      <c r="C46">
        <v>50</v>
      </c>
      <c r="D46" t="s">
        <v>71</v>
      </c>
      <c r="E46" s="9">
        <f t="shared" si="0"/>
        <v>20000</v>
      </c>
      <c r="F46" s="9">
        <v>1000000</v>
      </c>
    </row>
    <row r="47" spans="1:10" x14ac:dyDescent="0.25">
      <c r="B47" t="s">
        <v>68</v>
      </c>
      <c r="C47">
        <v>15</v>
      </c>
      <c r="D47" t="s">
        <v>72</v>
      </c>
      <c r="E47" s="9">
        <f t="shared" si="0"/>
        <v>22000</v>
      </c>
      <c r="F47" s="9">
        <v>330000</v>
      </c>
    </row>
    <row r="48" spans="1:10" x14ac:dyDescent="0.25">
      <c r="B48" t="s">
        <v>68</v>
      </c>
      <c r="C48">
        <v>7</v>
      </c>
      <c r="D48" t="s">
        <v>71</v>
      </c>
      <c r="E48" s="9">
        <f t="shared" si="0"/>
        <v>21000</v>
      </c>
      <c r="F48" s="9">
        <v>147000</v>
      </c>
    </row>
    <row r="49" spans="1:6" x14ac:dyDescent="0.25">
      <c r="B49" t="s">
        <v>68</v>
      </c>
      <c r="C49">
        <v>5</v>
      </c>
      <c r="D49" t="s">
        <v>70</v>
      </c>
      <c r="E49" s="9">
        <f t="shared" si="0"/>
        <v>20000</v>
      </c>
      <c r="F49" s="9">
        <v>100000</v>
      </c>
    </row>
    <row r="50" spans="1:6" x14ac:dyDescent="0.25">
      <c r="A50" s="8">
        <v>44978</v>
      </c>
      <c r="B50" t="s">
        <v>60</v>
      </c>
      <c r="C50">
        <v>43</v>
      </c>
      <c r="D50" t="s">
        <v>71</v>
      </c>
      <c r="E50" s="9">
        <v>20000</v>
      </c>
      <c r="F50" s="9">
        <f t="shared" ref="F50:F81" si="1">+E50*C50</f>
        <v>860000</v>
      </c>
    </row>
    <row r="51" spans="1:6" x14ac:dyDescent="0.25">
      <c r="B51" t="s">
        <v>42</v>
      </c>
      <c r="C51">
        <v>13</v>
      </c>
      <c r="D51" t="s">
        <v>72</v>
      </c>
      <c r="E51" s="9">
        <v>20000</v>
      </c>
      <c r="F51" s="9">
        <f t="shared" si="1"/>
        <v>260000</v>
      </c>
    </row>
    <row r="52" spans="1:6" x14ac:dyDescent="0.25">
      <c r="A52" s="8">
        <v>44979</v>
      </c>
      <c r="B52" t="s">
        <v>52</v>
      </c>
      <c r="C52">
        <v>40</v>
      </c>
      <c r="D52" t="s">
        <v>71</v>
      </c>
      <c r="E52" s="9">
        <v>20000</v>
      </c>
      <c r="F52" s="9">
        <f t="shared" si="1"/>
        <v>800000</v>
      </c>
    </row>
    <row r="53" spans="1:6" x14ac:dyDescent="0.25">
      <c r="B53" t="s">
        <v>54</v>
      </c>
      <c r="C53">
        <v>5</v>
      </c>
      <c r="D53" t="s">
        <v>72</v>
      </c>
      <c r="E53" s="9">
        <v>22000</v>
      </c>
      <c r="F53" s="9">
        <f t="shared" si="1"/>
        <v>110000</v>
      </c>
    </row>
    <row r="54" spans="1:6" x14ac:dyDescent="0.25">
      <c r="B54" t="s">
        <v>45</v>
      </c>
      <c r="C54">
        <v>3</v>
      </c>
      <c r="D54" t="s">
        <v>70</v>
      </c>
      <c r="E54" s="9">
        <v>20000</v>
      </c>
      <c r="F54" s="9">
        <f t="shared" si="1"/>
        <v>60000</v>
      </c>
    </row>
    <row r="55" spans="1:6" x14ac:dyDescent="0.25">
      <c r="A55" s="8">
        <v>44980</v>
      </c>
      <c r="B55" t="s">
        <v>42</v>
      </c>
      <c r="C55">
        <v>40</v>
      </c>
      <c r="D55" t="s">
        <v>69</v>
      </c>
      <c r="E55" s="9">
        <v>21000</v>
      </c>
      <c r="F55" s="9">
        <f t="shared" si="1"/>
        <v>840000</v>
      </c>
    </row>
    <row r="56" spans="1:6" x14ac:dyDescent="0.25">
      <c r="B56" t="s">
        <v>73</v>
      </c>
      <c r="C56">
        <v>6</v>
      </c>
      <c r="D56" t="s">
        <v>71</v>
      </c>
      <c r="E56" s="9">
        <v>20000</v>
      </c>
      <c r="F56" s="9">
        <f t="shared" si="1"/>
        <v>120000</v>
      </c>
    </row>
    <row r="57" spans="1:6" x14ac:dyDescent="0.25">
      <c r="B57" t="s">
        <v>74</v>
      </c>
      <c r="C57">
        <v>2</v>
      </c>
      <c r="D57" t="s">
        <v>72</v>
      </c>
      <c r="E57" s="9">
        <v>22000</v>
      </c>
      <c r="F57" s="9">
        <f t="shared" si="1"/>
        <v>44000</v>
      </c>
    </row>
    <row r="58" spans="1:6" x14ac:dyDescent="0.25">
      <c r="A58" s="8">
        <v>44981</v>
      </c>
      <c r="B58" t="s">
        <v>45</v>
      </c>
      <c r="C58">
        <v>5</v>
      </c>
      <c r="D58" t="s">
        <v>70</v>
      </c>
      <c r="E58" s="9">
        <v>20000</v>
      </c>
      <c r="F58" s="9">
        <f t="shared" si="1"/>
        <v>100000</v>
      </c>
    </row>
    <row r="59" spans="1:6" x14ac:dyDescent="0.25">
      <c r="B59" t="s">
        <v>58</v>
      </c>
      <c r="C59">
        <v>3</v>
      </c>
      <c r="D59" t="s">
        <v>70</v>
      </c>
      <c r="E59" s="9">
        <v>20000</v>
      </c>
      <c r="F59" s="9">
        <f t="shared" si="1"/>
        <v>60000</v>
      </c>
    </row>
    <row r="60" spans="1:6" x14ac:dyDescent="0.25">
      <c r="B60" t="s">
        <v>75</v>
      </c>
      <c r="C60">
        <v>3</v>
      </c>
      <c r="D60" t="s">
        <v>72</v>
      </c>
      <c r="E60" s="9">
        <v>25000</v>
      </c>
      <c r="F60" s="9">
        <f t="shared" si="1"/>
        <v>75000</v>
      </c>
    </row>
    <row r="61" spans="1:6" x14ac:dyDescent="0.25">
      <c r="A61" s="8">
        <v>44982</v>
      </c>
      <c r="B61" t="s">
        <v>60</v>
      </c>
      <c r="C61">
        <v>50</v>
      </c>
      <c r="D61" t="s">
        <v>71</v>
      </c>
      <c r="E61" s="9">
        <v>20000</v>
      </c>
      <c r="F61" s="9">
        <f t="shared" si="1"/>
        <v>1000000</v>
      </c>
    </row>
    <row r="62" spans="1:6" x14ac:dyDescent="0.25">
      <c r="B62" t="s">
        <v>42</v>
      </c>
      <c r="C62">
        <v>30</v>
      </c>
      <c r="D62" t="s">
        <v>71</v>
      </c>
      <c r="E62" s="9">
        <v>21000</v>
      </c>
      <c r="F62" s="9">
        <f t="shared" si="1"/>
        <v>630000</v>
      </c>
    </row>
    <row r="63" spans="1:6" x14ac:dyDescent="0.25">
      <c r="B63" t="s">
        <v>42</v>
      </c>
      <c r="C63">
        <v>10</v>
      </c>
      <c r="D63" t="s">
        <v>72</v>
      </c>
      <c r="E63" s="9">
        <v>22000</v>
      </c>
      <c r="F63" s="9">
        <f t="shared" si="1"/>
        <v>220000</v>
      </c>
    </row>
    <row r="64" spans="1:6" x14ac:dyDescent="0.25">
      <c r="B64" t="s">
        <v>76</v>
      </c>
      <c r="C64">
        <v>3</v>
      </c>
      <c r="D64" t="s">
        <v>72</v>
      </c>
      <c r="E64" s="9">
        <v>25000</v>
      </c>
      <c r="F64" s="9">
        <f t="shared" si="1"/>
        <v>75000</v>
      </c>
    </row>
    <row r="65" spans="1:14" x14ac:dyDescent="0.25">
      <c r="A65" s="8">
        <v>44984</v>
      </c>
      <c r="B65" t="s">
        <v>52</v>
      </c>
      <c r="C65">
        <v>68</v>
      </c>
      <c r="D65" t="s">
        <v>71</v>
      </c>
      <c r="E65" s="9">
        <v>23000</v>
      </c>
      <c r="F65" s="9">
        <f t="shared" si="1"/>
        <v>1564000</v>
      </c>
    </row>
    <row r="66" spans="1:14" x14ac:dyDescent="0.25">
      <c r="A66" s="8">
        <v>44985</v>
      </c>
      <c r="B66" t="s">
        <v>42</v>
      </c>
      <c r="C66">
        <v>30</v>
      </c>
      <c r="D66" t="s">
        <v>71</v>
      </c>
      <c r="E66" s="9">
        <v>22000</v>
      </c>
      <c r="F66" s="9">
        <f t="shared" si="1"/>
        <v>660000</v>
      </c>
    </row>
    <row r="67" spans="1:14" x14ac:dyDescent="0.25">
      <c r="B67" t="s">
        <v>42</v>
      </c>
      <c r="C67">
        <v>3</v>
      </c>
      <c r="D67" t="s">
        <v>70</v>
      </c>
      <c r="E67" s="9">
        <v>21000</v>
      </c>
      <c r="F67" s="9">
        <f t="shared" si="1"/>
        <v>63000</v>
      </c>
    </row>
    <row r="68" spans="1:14" x14ac:dyDescent="0.25">
      <c r="B68" t="s">
        <v>77</v>
      </c>
      <c r="C68">
        <v>23</v>
      </c>
      <c r="D68" t="s">
        <v>71</v>
      </c>
      <c r="E68" s="9">
        <v>22000</v>
      </c>
      <c r="F68" s="9">
        <f t="shared" si="1"/>
        <v>506000</v>
      </c>
    </row>
    <row r="69" spans="1:14" x14ac:dyDescent="0.25">
      <c r="B69" t="s">
        <v>77</v>
      </c>
      <c r="C69">
        <v>14</v>
      </c>
      <c r="D69" t="s">
        <v>72</v>
      </c>
      <c r="E69" s="9">
        <v>23000</v>
      </c>
      <c r="F69" s="9">
        <f t="shared" si="1"/>
        <v>322000</v>
      </c>
    </row>
    <row r="70" spans="1:14" x14ac:dyDescent="0.25">
      <c r="B70" t="s">
        <v>78</v>
      </c>
      <c r="C70">
        <v>11</v>
      </c>
      <c r="D70" t="s">
        <v>72</v>
      </c>
      <c r="E70" s="9">
        <v>22000</v>
      </c>
      <c r="F70" s="9">
        <f t="shared" si="1"/>
        <v>242000</v>
      </c>
    </row>
    <row r="71" spans="1:14" x14ac:dyDescent="0.25">
      <c r="B71" t="s">
        <v>47</v>
      </c>
      <c r="C71">
        <v>9</v>
      </c>
      <c r="D71" t="s">
        <v>72</v>
      </c>
      <c r="E71" s="9">
        <v>23000</v>
      </c>
      <c r="F71" s="9">
        <f t="shared" si="1"/>
        <v>207000</v>
      </c>
    </row>
    <row r="72" spans="1:14" x14ac:dyDescent="0.25">
      <c r="B72" t="s">
        <v>50</v>
      </c>
      <c r="C72">
        <v>3</v>
      </c>
      <c r="D72" t="s">
        <v>70</v>
      </c>
      <c r="E72" s="9">
        <v>20000</v>
      </c>
      <c r="F72" s="9">
        <f t="shared" si="1"/>
        <v>60000</v>
      </c>
    </row>
    <row r="73" spans="1:14" s="30" customFormat="1" x14ac:dyDescent="0.25">
      <c r="A73" s="29">
        <v>44986</v>
      </c>
      <c r="B73" s="30" t="s">
        <v>45</v>
      </c>
      <c r="C73" s="30">
        <v>6</v>
      </c>
      <c r="D73" s="30" t="s">
        <v>71</v>
      </c>
      <c r="E73" s="31">
        <v>23000</v>
      </c>
      <c r="F73" s="31">
        <f t="shared" si="1"/>
        <v>138000</v>
      </c>
      <c r="G73" s="31">
        <f>+SUM(F73:F144)/SUM(C73:C144)</f>
        <v>24223.091976516633</v>
      </c>
      <c r="I73" s="36" t="s">
        <v>139</v>
      </c>
      <c r="J73" s="31">
        <v>22</v>
      </c>
      <c r="M73" s="31"/>
    </row>
    <row r="74" spans="1:14" x14ac:dyDescent="0.25">
      <c r="A74" s="8">
        <v>44987</v>
      </c>
      <c r="B74" t="s">
        <v>42</v>
      </c>
      <c r="C74">
        <v>40</v>
      </c>
      <c r="D74" t="s">
        <v>72</v>
      </c>
      <c r="E74" s="9">
        <v>23000</v>
      </c>
      <c r="F74" s="9">
        <f t="shared" si="1"/>
        <v>920000</v>
      </c>
      <c r="M74" s="9"/>
    </row>
    <row r="75" spans="1:14" x14ac:dyDescent="0.25">
      <c r="A75" s="8">
        <v>44988</v>
      </c>
      <c r="B75" t="s">
        <v>39</v>
      </c>
      <c r="C75">
        <v>45</v>
      </c>
      <c r="D75" t="s">
        <v>72</v>
      </c>
      <c r="E75" s="9">
        <v>23000</v>
      </c>
      <c r="F75" s="9">
        <f t="shared" si="1"/>
        <v>1035000</v>
      </c>
      <c r="I75" s="40" t="s">
        <v>144</v>
      </c>
      <c r="J75" s="40"/>
      <c r="L75" s="40" t="s">
        <v>141</v>
      </c>
      <c r="M75" s="40"/>
    </row>
    <row r="76" spans="1:14" x14ac:dyDescent="0.25">
      <c r="B76" t="s">
        <v>77</v>
      </c>
      <c r="C76">
        <v>36</v>
      </c>
      <c r="D76" t="s">
        <v>71</v>
      </c>
      <c r="E76" s="9">
        <v>22000</v>
      </c>
      <c r="F76" s="9">
        <f t="shared" si="1"/>
        <v>792000</v>
      </c>
      <c r="I76" t="s">
        <v>139</v>
      </c>
      <c r="J76" s="17">
        <f>60/100*9*M76*J73</f>
        <v>890999.99999999988</v>
      </c>
      <c r="L76" t="s">
        <v>140</v>
      </c>
      <c r="M76" s="9">
        <v>7500</v>
      </c>
      <c r="N76" t="s">
        <v>146</v>
      </c>
    </row>
    <row r="77" spans="1:14" x14ac:dyDescent="0.25">
      <c r="B77" t="s">
        <v>45</v>
      </c>
      <c r="C77">
        <v>5</v>
      </c>
      <c r="D77" t="s">
        <v>71</v>
      </c>
      <c r="E77" s="9">
        <v>23000</v>
      </c>
      <c r="F77" s="9">
        <f t="shared" si="1"/>
        <v>115000</v>
      </c>
      <c r="I77" t="s">
        <v>48</v>
      </c>
      <c r="J77" s="9">
        <f>+SUM(C73:C144)*M77</f>
        <v>766500</v>
      </c>
      <c r="L77" t="s">
        <v>48</v>
      </c>
      <c r="M77" s="9">
        <v>500</v>
      </c>
      <c r="N77" t="s">
        <v>147</v>
      </c>
    </row>
    <row r="78" spans="1:14" x14ac:dyDescent="0.25">
      <c r="A78" s="8">
        <v>44989</v>
      </c>
      <c r="B78" t="s">
        <v>42</v>
      </c>
      <c r="C78">
        <f>18+22</f>
        <v>40</v>
      </c>
      <c r="D78" t="s">
        <v>72</v>
      </c>
      <c r="E78" s="9">
        <v>23000</v>
      </c>
      <c r="F78" s="9">
        <f t="shared" si="1"/>
        <v>920000</v>
      </c>
      <c r="I78" t="s">
        <v>142</v>
      </c>
      <c r="J78" s="9">
        <f>9.3*31*M78</f>
        <v>18162900</v>
      </c>
      <c r="L78" t="s">
        <v>142</v>
      </c>
      <c r="M78" s="9">
        <v>63000</v>
      </c>
      <c r="N78" t="s">
        <v>148</v>
      </c>
    </row>
    <row r="79" spans="1:14" x14ac:dyDescent="0.25">
      <c r="B79" t="s">
        <v>79</v>
      </c>
      <c r="C79">
        <v>3</v>
      </c>
      <c r="D79" t="s">
        <v>69</v>
      </c>
      <c r="E79" s="9">
        <v>25000</v>
      </c>
      <c r="F79" s="9">
        <f t="shared" si="1"/>
        <v>75000</v>
      </c>
      <c r="I79" t="s">
        <v>145</v>
      </c>
      <c r="J79" s="9">
        <f>+M79*31</f>
        <v>1860000</v>
      </c>
      <c r="L79" t="s">
        <v>143</v>
      </c>
      <c r="M79" s="9">
        <v>60000</v>
      </c>
      <c r="N79" t="s">
        <v>149</v>
      </c>
    </row>
    <row r="80" spans="1:14" x14ac:dyDescent="0.25">
      <c r="B80" t="s">
        <v>54</v>
      </c>
      <c r="C80">
        <v>5</v>
      </c>
      <c r="D80" t="s">
        <v>72</v>
      </c>
      <c r="E80" s="9">
        <v>23000</v>
      </c>
      <c r="F80" s="9">
        <f t="shared" si="1"/>
        <v>115000</v>
      </c>
      <c r="I80" t="s">
        <v>150</v>
      </c>
      <c r="J80" s="9">
        <v>15000</v>
      </c>
      <c r="K80" s="27"/>
      <c r="M80" s="9"/>
    </row>
    <row r="81" spans="1:14" x14ac:dyDescent="0.25">
      <c r="B81" t="s">
        <v>80</v>
      </c>
      <c r="C81">
        <v>20</v>
      </c>
      <c r="D81" t="s">
        <v>72</v>
      </c>
      <c r="E81" s="9">
        <v>23000</v>
      </c>
      <c r="F81" s="9">
        <f t="shared" si="1"/>
        <v>460000</v>
      </c>
      <c r="I81" t="s">
        <v>151</v>
      </c>
      <c r="J81" s="9">
        <v>150000</v>
      </c>
      <c r="M81" s="9"/>
    </row>
    <row r="82" spans="1:14" x14ac:dyDescent="0.25">
      <c r="B82" t="s">
        <v>47</v>
      </c>
      <c r="C82">
        <v>10</v>
      </c>
      <c r="D82" t="s">
        <v>71</v>
      </c>
      <c r="E82" s="9">
        <v>23000</v>
      </c>
      <c r="F82" s="9">
        <f t="shared" ref="F82:F113" si="2">+E82*C82</f>
        <v>230000</v>
      </c>
      <c r="I82" t="s">
        <v>152</v>
      </c>
      <c r="J82" s="9">
        <f>+SUM(J76:J81)</f>
        <v>21845400</v>
      </c>
      <c r="N82" s="9"/>
    </row>
    <row r="83" spans="1:14" x14ac:dyDescent="0.25">
      <c r="A83" s="8">
        <v>44991</v>
      </c>
      <c r="B83" t="s">
        <v>81</v>
      </c>
      <c r="C83">
        <v>4</v>
      </c>
      <c r="D83" t="s">
        <v>72</v>
      </c>
      <c r="E83" s="9">
        <v>23000</v>
      </c>
      <c r="F83" s="9">
        <f t="shared" si="2"/>
        <v>92000</v>
      </c>
      <c r="M83" s="9"/>
    </row>
    <row r="84" spans="1:14" x14ac:dyDescent="0.25">
      <c r="B84" t="s">
        <v>42</v>
      </c>
      <c r="C84">
        <v>20</v>
      </c>
      <c r="D84" t="s">
        <v>72</v>
      </c>
      <c r="E84" s="9">
        <v>23000</v>
      </c>
      <c r="F84" s="9">
        <f t="shared" si="2"/>
        <v>460000</v>
      </c>
      <c r="I84" t="s">
        <v>153</v>
      </c>
      <c r="J84" s="9">
        <f>+SUM(F73:F144)</f>
        <v>37134000</v>
      </c>
      <c r="M84" s="9"/>
    </row>
    <row r="85" spans="1:14" ht="15.75" thickBot="1" x14ac:dyDescent="0.3">
      <c r="B85" t="s">
        <v>74</v>
      </c>
      <c r="C85">
        <v>2</v>
      </c>
      <c r="D85" t="s">
        <v>69</v>
      </c>
      <c r="E85" s="9">
        <v>24000</v>
      </c>
      <c r="F85" s="9">
        <f t="shared" si="2"/>
        <v>48000</v>
      </c>
      <c r="M85" s="9"/>
    </row>
    <row r="86" spans="1:14" ht="15.75" thickBot="1" x14ac:dyDescent="0.3">
      <c r="B86" t="s">
        <v>82</v>
      </c>
      <c r="C86">
        <f>35+39</f>
        <v>74</v>
      </c>
      <c r="D86" t="s">
        <v>72</v>
      </c>
      <c r="E86" s="9">
        <v>23000</v>
      </c>
      <c r="F86" s="9">
        <f t="shared" si="2"/>
        <v>1702000</v>
      </c>
      <c r="I86" s="34" t="s">
        <v>155</v>
      </c>
      <c r="J86" s="35">
        <f>+J84-J82</f>
        <v>15288600</v>
      </c>
      <c r="M86" s="9"/>
    </row>
    <row r="87" spans="1:14" x14ac:dyDescent="0.25">
      <c r="A87" s="8">
        <v>44992</v>
      </c>
      <c r="B87" t="s">
        <v>45</v>
      </c>
      <c r="C87">
        <v>3</v>
      </c>
      <c r="D87" t="s">
        <v>71</v>
      </c>
      <c r="E87" s="9">
        <v>22000</v>
      </c>
      <c r="F87" s="9">
        <f t="shared" si="2"/>
        <v>66000</v>
      </c>
    </row>
    <row r="88" spans="1:14" x14ac:dyDescent="0.25">
      <c r="A88" s="8">
        <v>44993</v>
      </c>
      <c r="B88" t="s">
        <v>77</v>
      </c>
      <c r="C88">
        <v>50</v>
      </c>
      <c r="D88" t="s">
        <v>72</v>
      </c>
      <c r="E88" s="9">
        <v>23000</v>
      </c>
      <c r="F88" s="9">
        <f t="shared" si="2"/>
        <v>1150000</v>
      </c>
    </row>
    <row r="89" spans="1:14" x14ac:dyDescent="0.25">
      <c r="B89" t="s">
        <v>83</v>
      </c>
      <c r="C89">
        <v>80</v>
      </c>
      <c r="D89" t="s">
        <v>72</v>
      </c>
      <c r="E89" s="9">
        <v>23000</v>
      </c>
      <c r="F89" s="9">
        <f t="shared" si="2"/>
        <v>1840000</v>
      </c>
    </row>
    <row r="90" spans="1:14" x14ac:dyDescent="0.25">
      <c r="B90" t="s">
        <v>84</v>
      </c>
      <c r="C90">
        <v>2</v>
      </c>
      <c r="D90" t="s">
        <v>69</v>
      </c>
      <c r="E90" s="9">
        <v>25000</v>
      </c>
      <c r="F90" s="9">
        <f t="shared" si="2"/>
        <v>50000</v>
      </c>
    </row>
    <row r="91" spans="1:14" x14ac:dyDescent="0.25">
      <c r="B91" t="s">
        <v>42</v>
      </c>
      <c r="C91">
        <v>20</v>
      </c>
      <c r="D91" t="s">
        <v>72</v>
      </c>
      <c r="E91" s="9">
        <v>23000</v>
      </c>
      <c r="F91" s="9">
        <f t="shared" si="2"/>
        <v>460000</v>
      </c>
    </row>
    <row r="92" spans="1:14" x14ac:dyDescent="0.25">
      <c r="A92" s="8">
        <v>44994</v>
      </c>
      <c r="B92" t="s">
        <v>77</v>
      </c>
      <c r="C92">
        <v>20</v>
      </c>
      <c r="D92" t="s">
        <v>72</v>
      </c>
      <c r="E92" s="9">
        <v>23000</v>
      </c>
      <c r="F92" s="9">
        <f t="shared" si="2"/>
        <v>460000</v>
      </c>
    </row>
    <row r="93" spans="1:14" x14ac:dyDescent="0.25">
      <c r="A93" s="8">
        <v>44997</v>
      </c>
      <c r="B93" t="s">
        <v>65</v>
      </c>
      <c r="C93">
        <v>10</v>
      </c>
      <c r="D93" t="s">
        <v>72</v>
      </c>
      <c r="E93" s="9">
        <v>25000</v>
      </c>
      <c r="F93" s="9">
        <f t="shared" si="2"/>
        <v>250000</v>
      </c>
    </row>
    <row r="94" spans="1:14" x14ac:dyDescent="0.25">
      <c r="B94" t="s">
        <v>47</v>
      </c>
      <c r="C94">
        <v>10</v>
      </c>
      <c r="D94" t="s">
        <v>69</v>
      </c>
      <c r="E94" s="9">
        <v>25000</v>
      </c>
      <c r="F94" s="9">
        <f t="shared" si="2"/>
        <v>250000</v>
      </c>
    </row>
    <row r="95" spans="1:14" x14ac:dyDescent="0.25">
      <c r="B95" t="s">
        <v>45</v>
      </c>
      <c r="C95">
        <v>3</v>
      </c>
      <c r="D95" t="s">
        <v>72</v>
      </c>
      <c r="E95" s="9">
        <v>25000</v>
      </c>
      <c r="F95" s="9">
        <f t="shared" si="2"/>
        <v>75000</v>
      </c>
    </row>
    <row r="96" spans="1:14" x14ac:dyDescent="0.25">
      <c r="B96" t="s">
        <v>83</v>
      </c>
      <c r="C96">
        <v>113</v>
      </c>
      <c r="D96" t="s">
        <v>72</v>
      </c>
      <c r="E96" s="9">
        <v>23000</v>
      </c>
      <c r="F96" s="9">
        <f t="shared" si="2"/>
        <v>2599000</v>
      </c>
    </row>
    <row r="97" spans="1:6" x14ac:dyDescent="0.25">
      <c r="A97" s="8">
        <v>44999</v>
      </c>
      <c r="B97" t="s">
        <v>42</v>
      </c>
      <c r="C97">
        <v>30</v>
      </c>
      <c r="D97" t="s">
        <v>72</v>
      </c>
      <c r="E97" s="9">
        <v>25000</v>
      </c>
      <c r="F97" s="9">
        <f t="shared" si="2"/>
        <v>750000</v>
      </c>
    </row>
    <row r="98" spans="1:6" x14ac:dyDescent="0.25">
      <c r="B98" t="s">
        <v>52</v>
      </c>
      <c r="C98">
        <v>15</v>
      </c>
      <c r="D98" t="s">
        <v>72</v>
      </c>
      <c r="E98" s="9">
        <v>25000</v>
      </c>
      <c r="F98" s="9">
        <f t="shared" si="2"/>
        <v>375000</v>
      </c>
    </row>
    <row r="99" spans="1:6" x14ac:dyDescent="0.25">
      <c r="B99" t="s">
        <v>45</v>
      </c>
      <c r="C99">
        <v>1</v>
      </c>
      <c r="D99" t="s">
        <v>70</v>
      </c>
      <c r="E99" s="9">
        <v>22000</v>
      </c>
      <c r="F99" s="9">
        <f t="shared" si="2"/>
        <v>22000</v>
      </c>
    </row>
    <row r="100" spans="1:6" x14ac:dyDescent="0.25">
      <c r="B100" t="s">
        <v>68</v>
      </c>
      <c r="C100">
        <v>10</v>
      </c>
      <c r="D100" t="s">
        <v>72</v>
      </c>
      <c r="E100" s="9">
        <v>25000</v>
      </c>
      <c r="F100" s="9">
        <f t="shared" si="2"/>
        <v>250000</v>
      </c>
    </row>
    <row r="101" spans="1:6" x14ac:dyDescent="0.25">
      <c r="B101" t="s">
        <v>85</v>
      </c>
      <c r="C101">
        <v>10</v>
      </c>
      <c r="D101" t="s">
        <v>72</v>
      </c>
      <c r="E101" s="9">
        <v>25000</v>
      </c>
      <c r="F101" s="9">
        <f t="shared" si="2"/>
        <v>250000</v>
      </c>
    </row>
    <row r="102" spans="1:6" x14ac:dyDescent="0.25">
      <c r="B102" t="s">
        <v>78</v>
      </c>
      <c r="C102">
        <v>10</v>
      </c>
      <c r="D102" t="s">
        <v>71</v>
      </c>
      <c r="E102" s="9">
        <v>23000</v>
      </c>
      <c r="F102" s="9">
        <f t="shared" si="2"/>
        <v>230000</v>
      </c>
    </row>
    <row r="103" spans="1:6" x14ac:dyDescent="0.25">
      <c r="B103" t="s">
        <v>86</v>
      </c>
      <c r="C103">
        <v>2</v>
      </c>
      <c r="D103" t="s">
        <v>69</v>
      </c>
      <c r="E103" s="9">
        <v>25000</v>
      </c>
      <c r="F103" s="9">
        <f t="shared" si="2"/>
        <v>50000</v>
      </c>
    </row>
    <row r="104" spans="1:6" x14ac:dyDescent="0.25">
      <c r="B104" t="s">
        <v>87</v>
      </c>
      <c r="C104">
        <v>4</v>
      </c>
      <c r="D104" t="s">
        <v>72</v>
      </c>
      <c r="E104" s="9">
        <v>25000</v>
      </c>
      <c r="F104" s="9">
        <f t="shared" si="2"/>
        <v>100000</v>
      </c>
    </row>
    <row r="105" spans="1:6" x14ac:dyDescent="0.25">
      <c r="A105" s="8">
        <v>45001</v>
      </c>
      <c r="B105" t="s">
        <v>45</v>
      </c>
      <c r="C105">
        <v>2</v>
      </c>
      <c r="D105" t="s">
        <v>71</v>
      </c>
      <c r="E105" s="9">
        <v>25000</v>
      </c>
      <c r="F105" s="9">
        <f t="shared" si="2"/>
        <v>50000</v>
      </c>
    </row>
    <row r="106" spans="1:6" x14ac:dyDescent="0.25">
      <c r="B106" t="s">
        <v>83</v>
      </c>
      <c r="C106">
        <v>115</v>
      </c>
      <c r="D106" t="s">
        <v>72</v>
      </c>
      <c r="E106" s="9">
        <v>25000</v>
      </c>
      <c r="F106" s="9">
        <f t="shared" si="2"/>
        <v>2875000</v>
      </c>
    </row>
    <row r="107" spans="1:6" x14ac:dyDescent="0.25">
      <c r="A107" s="8">
        <v>45003</v>
      </c>
      <c r="B107" t="s">
        <v>42</v>
      </c>
      <c r="C107">
        <v>20</v>
      </c>
      <c r="D107" t="s">
        <v>72</v>
      </c>
      <c r="E107" s="9">
        <v>25000</v>
      </c>
      <c r="F107" s="9">
        <f t="shared" si="2"/>
        <v>500000</v>
      </c>
    </row>
    <row r="108" spans="1:6" x14ac:dyDescent="0.25">
      <c r="B108" t="s">
        <v>88</v>
      </c>
      <c r="C108">
        <v>5</v>
      </c>
      <c r="D108" t="s">
        <v>72</v>
      </c>
      <c r="E108" s="9">
        <v>25000</v>
      </c>
      <c r="F108" s="9">
        <f t="shared" si="2"/>
        <v>125000</v>
      </c>
    </row>
    <row r="109" spans="1:6" x14ac:dyDescent="0.25">
      <c r="B109" t="s">
        <v>45</v>
      </c>
      <c r="C109">
        <v>5</v>
      </c>
      <c r="D109" t="s">
        <v>71</v>
      </c>
      <c r="E109" s="9">
        <v>25000</v>
      </c>
      <c r="F109" s="9">
        <f t="shared" si="2"/>
        <v>125000</v>
      </c>
    </row>
    <row r="110" spans="1:6" x14ac:dyDescent="0.25">
      <c r="B110" t="s">
        <v>42</v>
      </c>
      <c r="C110">
        <v>20</v>
      </c>
      <c r="D110" t="s">
        <v>72</v>
      </c>
      <c r="E110" s="9">
        <v>25000</v>
      </c>
      <c r="F110" s="9">
        <f t="shared" si="2"/>
        <v>500000</v>
      </c>
    </row>
    <row r="111" spans="1:6" x14ac:dyDescent="0.25">
      <c r="B111" t="s">
        <v>78</v>
      </c>
      <c r="C111">
        <v>10</v>
      </c>
      <c r="D111" t="s">
        <v>72</v>
      </c>
      <c r="E111" s="9">
        <v>23000</v>
      </c>
      <c r="F111" s="9">
        <f t="shared" si="2"/>
        <v>230000</v>
      </c>
    </row>
    <row r="112" spans="1:6" x14ac:dyDescent="0.25">
      <c r="A112" s="8">
        <v>45004</v>
      </c>
      <c r="B112" t="s">
        <v>45</v>
      </c>
      <c r="C112">
        <v>7</v>
      </c>
      <c r="D112" t="s">
        <v>71</v>
      </c>
      <c r="E112" s="9">
        <v>25000</v>
      </c>
      <c r="F112" s="9">
        <f t="shared" si="2"/>
        <v>175000</v>
      </c>
    </row>
    <row r="113" spans="1:6" x14ac:dyDescent="0.25">
      <c r="B113" t="s">
        <v>89</v>
      </c>
      <c r="C113">
        <v>5</v>
      </c>
      <c r="D113" t="s">
        <v>72</v>
      </c>
      <c r="E113" s="9">
        <v>25000</v>
      </c>
      <c r="F113" s="9">
        <f t="shared" si="2"/>
        <v>125000</v>
      </c>
    </row>
    <row r="114" spans="1:6" x14ac:dyDescent="0.25">
      <c r="B114" t="s">
        <v>39</v>
      </c>
      <c r="C114">
        <v>80</v>
      </c>
      <c r="D114" t="s">
        <v>72</v>
      </c>
      <c r="E114" s="9">
        <v>25000</v>
      </c>
      <c r="F114" s="9">
        <f t="shared" ref="F114:F145" si="3">+E114*C114</f>
        <v>2000000</v>
      </c>
    </row>
    <row r="115" spans="1:6" x14ac:dyDescent="0.25">
      <c r="A115" s="8">
        <v>45005</v>
      </c>
      <c r="B115" t="s">
        <v>87</v>
      </c>
      <c r="C115">
        <v>6</v>
      </c>
      <c r="D115" t="s">
        <v>71</v>
      </c>
      <c r="E115" s="9">
        <v>25000</v>
      </c>
      <c r="F115" s="9">
        <f t="shared" si="3"/>
        <v>150000</v>
      </c>
    </row>
    <row r="116" spans="1:6" x14ac:dyDescent="0.25">
      <c r="B116" t="s">
        <v>90</v>
      </c>
      <c r="C116">
        <v>10</v>
      </c>
      <c r="D116" t="s">
        <v>72</v>
      </c>
      <c r="E116" s="9">
        <v>25000</v>
      </c>
      <c r="F116" s="9">
        <f t="shared" si="3"/>
        <v>250000</v>
      </c>
    </row>
    <row r="117" spans="1:6" x14ac:dyDescent="0.25">
      <c r="B117" t="s">
        <v>91</v>
      </c>
      <c r="C117">
        <v>1</v>
      </c>
      <c r="D117" t="s">
        <v>69</v>
      </c>
      <c r="E117" s="9">
        <v>28000</v>
      </c>
      <c r="F117" s="9">
        <f t="shared" si="3"/>
        <v>28000</v>
      </c>
    </row>
    <row r="118" spans="1:6" x14ac:dyDescent="0.25">
      <c r="A118" s="8">
        <v>45006</v>
      </c>
      <c r="B118" t="s">
        <v>77</v>
      </c>
      <c r="C118">
        <v>40</v>
      </c>
      <c r="D118" t="s">
        <v>72</v>
      </c>
      <c r="E118" s="9">
        <v>25000</v>
      </c>
      <c r="F118" s="9">
        <f t="shared" si="3"/>
        <v>1000000</v>
      </c>
    </row>
    <row r="119" spans="1:6" x14ac:dyDescent="0.25">
      <c r="B119" t="s">
        <v>83</v>
      </c>
      <c r="C119">
        <v>110</v>
      </c>
      <c r="D119" t="s">
        <v>72</v>
      </c>
      <c r="E119" s="9">
        <v>25000</v>
      </c>
      <c r="F119" s="9">
        <f t="shared" si="3"/>
        <v>2750000</v>
      </c>
    </row>
    <row r="120" spans="1:6" x14ac:dyDescent="0.25">
      <c r="B120" t="s">
        <v>45</v>
      </c>
      <c r="C120">
        <v>3</v>
      </c>
      <c r="D120" t="s">
        <v>71</v>
      </c>
      <c r="E120" s="9">
        <v>25000</v>
      </c>
      <c r="F120" s="9">
        <f t="shared" si="3"/>
        <v>75000</v>
      </c>
    </row>
    <row r="121" spans="1:6" x14ac:dyDescent="0.25">
      <c r="A121" s="8">
        <v>45007</v>
      </c>
      <c r="B121" t="s">
        <v>52</v>
      </c>
      <c r="C121">
        <v>15</v>
      </c>
      <c r="D121" t="s">
        <v>71</v>
      </c>
      <c r="E121" s="9">
        <v>25000</v>
      </c>
      <c r="F121" s="9">
        <f t="shared" si="3"/>
        <v>375000</v>
      </c>
    </row>
    <row r="122" spans="1:6" x14ac:dyDescent="0.25">
      <c r="B122" t="s">
        <v>92</v>
      </c>
      <c r="C122">
        <v>2</v>
      </c>
      <c r="D122" t="s">
        <v>71</v>
      </c>
      <c r="E122" s="9">
        <v>25000</v>
      </c>
      <c r="F122" s="9">
        <f t="shared" si="3"/>
        <v>50000</v>
      </c>
    </row>
    <row r="123" spans="1:6" x14ac:dyDescent="0.25">
      <c r="B123" t="s">
        <v>73</v>
      </c>
      <c r="C123">
        <v>6</v>
      </c>
      <c r="D123" t="s">
        <v>72</v>
      </c>
      <c r="E123" s="9">
        <v>25000</v>
      </c>
      <c r="F123" s="9">
        <f t="shared" si="3"/>
        <v>150000</v>
      </c>
    </row>
    <row r="124" spans="1:6" x14ac:dyDescent="0.25">
      <c r="B124" t="s">
        <v>93</v>
      </c>
      <c r="C124">
        <v>3</v>
      </c>
      <c r="D124" t="s">
        <v>71</v>
      </c>
      <c r="E124" s="9">
        <v>25000</v>
      </c>
      <c r="F124" s="9">
        <f t="shared" si="3"/>
        <v>75000</v>
      </c>
    </row>
    <row r="125" spans="1:6" x14ac:dyDescent="0.25">
      <c r="B125" t="s">
        <v>42</v>
      </c>
      <c r="C125">
        <v>25</v>
      </c>
      <c r="D125" t="s">
        <v>72</v>
      </c>
      <c r="E125" s="9">
        <v>25000</v>
      </c>
      <c r="F125" s="9">
        <f t="shared" si="3"/>
        <v>625000</v>
      </c>
    </row>
    <row r="126" spans="1:6" x14ac:dyDescent="0.25">
      <c r="B126" t="s">
        <v>42</v>
      </c>
      <c r="C126">
        <v>10</v>
      </c>
      <c r="D126" t="s">
        <v>69</v>
      </c>
      <c r="E126" s="9">
        <v>27000</v>
      </c>
      <c r="F126" s="9">
        <f t="shared" si="3"/>
        <v>270000</v>
      </c>
    </row>
    <row r="127" spans="1:6" x14ac:dyDescent="0.25">
      <c r="B127" t="s">
        <v>85</v>
      </c>
      <c r="C127">
        <v>12</v>
      </c>
      <c r="D127" t="s">
        <v>69</v>
      </c>
      <c r="E127" s="9">
        <v>27000</v>
      </c>
      <c r="F127" s="9">
        <f t="shared" si="3"/>
        <v>324000</v>
      </c>
    </row>
    <row r="128" spans="1:6" x14ac:dyDescent="0.25">
      <c r="B128" t="s">
        <v>85</v>
      </c>
      <c r="C128">
        <v>4</v>
      </c>
      <c r="D128" t="s">
        <v>72</v>
      </c>
      <c r="E128" s="9">
        <v>26000</v>
      </c>
      <c r="F128" s="9">
        <f t="shared" si="3"/>
        <v>104000</v>
      </c>
    </row>
    <row r="129" spans="1:6" x14ac:dyDescent="0.25">
      <c r="B129" t="s">
        <v>85</v>
      </c>
      <c r="C129">
        <v>2</v>
      </c>
      <c r="D129" t="s">
        <v>71</v>
      </c>
      <c r="E129" s="9">
        <v>25000</v>
      </c>
      <c r="F129" s="9">
        <f t="shared" si="3"/>
        <v>50000</v>
      </c>
    </row>
    <row r="130" spans="1:6" x14ac:dyDescent="0.25">
      <c r="A130" s="8">
        <v>45009</v>
      </c>
      <c r="B130" t="s">
        <v>86</v>
      </c>
      <c r="C130">
        <v>4</v>
      </c>
      <c r="D130" t="s">
        <v>72</v>
      </c>
      <c r="E130" s="9">
        <v>25000</v>
      </c>
      <c r="F130" s="9">
        <f t="shared" si="3"/>
        <v>100000</v>
      </c>
    </row>
    <row r="131" spans="1:6" x14ac:dyDescent="0.25">
      <c r="B131" t="s">
        <v>45</v>
      </c>
      <c r="C131">
        <v>3</v>
      </c>
      <c r="D131" t="s">
        <v>71</v>
      </c>
      <c r="E131" s="9">
        <v>25000</v>
      </c>
      <c r="F131" s="9">
        <f t="shared" si="3"/>
        <v>75000</v>
      </c>
    </row>
    <row r="132" spans="1:6" x14ac:dyDescent="0.25">
      <c r="B132" t="s">
        <v>89</v>
      </c>
      <c r="C132">
        <v>7</v>
      </c>
      <c r="D132" t="s">
        <v>71</v>
      </c>
      <c r="E132" s="9">
        <v>25000</v>
      </c>
      <c r="F132" s="9">
        <f t="shared" si="3"/>
        <v>175000</v>
      </c>
    </row>
    <row r="133" spans="1:6" x14ac:dyDescent="0.25">
      <c r="A133" s="8">
        <v>45010</v>
      </c>
      <c r="B133" t="s">
        <v>42</v>
      </c>
      <c r="C133">
        <v>24</v>
      </c>
      <c r="D133" t="s">
        <v>71</v>
      </c>
      <c r="E133" s="9">
        <v>25000</v>
      </c>
      <c r="F133" s="9">
        <f t="shared" si="3"/>
        <v>600000</v>
      </c>
    </row>
    <row r="134" spans="1:6" x14ac:dyDescent="0.25">
      <c r="A134" s="8">
        <v>45012</v>
      </c>
      <c r="B134" t="s">
        <v>83</v>
      </c>
      <c r="C134">
        <v>145</v>
      </c>
      <c r="D134" t="s">
        <v>72</v>
      </c>
      <c r="E134" s="9">
        <v>25000</v>
      </c>
      <c r="F134" s="9">
        <f t="shared" si="3"/>
        <v>3625000</v>
      </c>
    </row>
    <row r="135" spans="1:6" x14ac:dyDescent="0.25">
      <c r="A135" s="8">
        <v>45013</v>
      </c>
      <c r="B135" t="s">
        <v>89</v>
      </c>
      <c r="C135">
        <v>12</v>
      </c>
      <c r="D135" t="s">
        <v>71</v>
      </c>
      <c r="E135" s="9">
        <v>25000</v>
      </c>
      <c r="F135" s="9">
        <f t="shared" si="3"/>
        <v>300000</v>
      </c>
    </row>
    <row r="136" spans="1:6" x14ac:dyDescent="0.25">
      <c r="B136" t="s">
        <v>42</v>
      </c>
      <c r="C136">
        <v>40</v>
      </c>
      <c r="D136" t="s">
        <v>72</v>
      </c>
      <c r="E136" s="9">
        <v>25000</v>
      </c>
      <c r="F136" s="9">
        <f t="shared" si="3"/>
        <v>1000000</v>
      </c>
    </row>
    <row r="137" spans="1:6" x14ac:dyDescent="0.25">
      <c r="B137" t="s">
        <v>80</v>
      </c>
      <c r="C137">
        <v>15</v>
      </c>
      <c r="D137" t="s">
        <v>72</v>
      </c>
      <c r="E137" s="9">
        <v>26000</v>
      </c>
      <c r="F137" s="9">
        <f t="shared" si="3"/>
        <v>390000</v>
      </c>
    </row>
    <row r="138" spans="1:6" x14ac:dyDescent="0.25">
      <c r="B138" t="s">
        <v>45</v>
      </c>
      <c r="C138">
        <v>4</v>
      </c>
      <c r="D138" t="s">
        <v>71</v>
      </c>
      <c r="E138" s="9">
        <v>25000</v>
      </c>
      <c r="F138" s="9">
        <f t="shared" si="3"/>
        <v>100000</v>
      </c>
    </row>
    <row r="139" spans="1:6" x14ac:dyDescent="0.25">
      <c r="B139" t="s">
        <v>45</v>
      </c>
      <c r="C139">
        <v>1</v>
      </c>
      <c r="D139" t="s">
        <v>49</v>
      </c>
      <c r="E139" s="9">
        <v>10000</v>
      </c>
      <c r="F139" s="9">
        <f t="shared" si="3"/>
        <v>10000</v>
      </c>
    </row>
    <row r="140" spans="1:6" x14ac:dyDescent="0.25">
      <c r="B140" t="s">
        <v>64</v>
      </c>
      <c r="C140">
        <v>6</v>
      </c>
      <c r="D140" t="s">
        <v>71</v>
      </c>
      <c r="E140" s="9">
        <v>25000</v>
      </c>
      <c r="F140" s="9">
        <f t="shared" si="3"/>
        <v>150000</v>
      </c>
    </row>
    <row r="141" spans="1:6" x14ac:dyDescent="0.25">
      <c r="A141" s="8">
        <v>45014</v>
      </c>
      <c r="B141" t="s">
        <v>39</v>
      </c>
      <c r="C141">
        <v>30</v>
      </c>
      <c r="D141" t="s">
        <v>72</v>
      </c>
      <c r="E141" s="9">
        <v>26000</v>
      </c>
      <c r="F141" s="9">
        <f t="shared" si="3"/>
        <v>780000</v>
      </c>
    </row>
    <row r="142" spans="1:6" x14ac:dyDescent="0.25">
      <c r="B142" t="s">
        <v>45</v>
      </c>
      <c r="C142">
        <v>4</v>
      </c>
      <c r="D142" t="s">
        <v>71</v>
      </c>
      <c r="E142" s="9">
        <v>25000</v>
      </c>
      <c r="F142" s="9">
        <f t="shared" si="3"/>
        <v>100000</v>
      </c>
    </row>
    <row r="143" spans="1:6" x14ac:dyDescent="0.25">
      <c r="A143" s="8">
        <v>45015</v>
      </c>
      <c r="B143" t="s">
        <v>52</v>
      </c>
      <c r="C143">
        <v>15</v>
      </c>
      <c r="D143" t="s">
        <v>71</v>
      </c>
      <c r="E143" s="9">
        <v>25000</v>
      </c>
      <c r="F143" s="9">
        <f t="shared" si="3"/>
        <v>375000</v>
      </c>
    </row>
    <row r="144" spans="1:6" x14ac:dyDescent="0.25">
      <c r="B144" t="s">
        <v>45</v>
      </c>
      <c r="C144">
        <v>2</v>
      </c>
      <c r="D144" t="s">
        <v>70</v>
      </c>
      <c r="E144" s="9">
        <v>22000</v>
      </c>
      <c r="F144" s="9">
        <f t="shared" si="3"/>
        <v>44000</v>
      </c>
    </row>
    <row r="145" spans="1:14" s="30" customFormat="1" x14ac:dyDescent="0.25">
      <c r="A145" s="29">
        <v>45017</v>
      </c>
      <c r="B145" s="30" t="s">
        <v>45</v>
      </c>
      <c r="C145" s="30">
        <v>4</v>
      </c>
      <c r="D145" s="30" t="s">
        <v>71</v>
      </c>
      <c r="E145" s="31">
        <v>25000</v>
      </c>
      <c r="F145" s="31">
        <f t="shared" si="3"/>
        <v>100000</v>
      </c>
      <c r="G145" s="31">
        <f>+SUM(F145:F222)/SUM(C145:C222)</f>
        <v>23923.624595469257</v>
      </c>
      <c r="I145" s="36" t="s">
        <v>139</v>
      </c>
      <c r="J145" s="31">
        <v>22</v>
      </c>
      <c r="M145" s="31"/>
    </row>
    <row r="146" spans="1:14" x14ac:dyDescent="0.25">
      <c r="B146" t="s">
        <v>83</v>
      </c>
      <c r="C146">
        <v>80</v>
      </c>
      <c r="D146" t="s">
        <v>72</v>
      </c>
      <c r="E146" s="9">
        <v>26000</v>
      </c>
      <c r="F146" s="9">
        <f t="shared" ref="F146:F161" si="4">+E146*C146</f>
        <v>2080000</v>
      </c>
      <c r="M146" s="9"/>
    </row>
    <row r="147" spans="1:14" x14ac:dyDescent="0.25">
      <c r="A147" s="29">
        <v>45017</v>
      </c>
      <c r="B147" t="s">
        <v>39</v>
      </c>
      <c r="C147">
        <v>27</v>
      </c>
      <c r="D147" t="s">
        <v>72</v>
      </c>
      <c r="E147" s="9">
        <v>26000</v>
      </c>
      <c r="F147" s="9">
        <f t="shared" si="4"/>
        <v>702000</v>
      </c>
      <c r="I147" s="40" t="s">
        <v>144</v>
      </c>
      <c r="J147" s="40"/>
      <c r="L147" s="40" t="s">
        <v>141</v>
      </c>
      <c r="M147" s="40"/>
    </row>
    <row r="148" spans="1:14" x14ac:dyDescent="0.25">
      <c r="B148" t="s">
        <v>39</v>
      </c>
      <c r="C148">
        <v>8</v>
      </c>
      <c r="D148" t="s">
        <v>69</v>
      </c>
      <c r="E148" s="9">
        <v>28000</v>
      </c>
      <c r="F148" s="9">
        <f t="shared" si="4"/>
        <v>224000</v>
      </c>
      <c r="I148" t="s">
        <v>139</v>
      </c>
      <c r="J148" s="17">
        <f>60/100*9*M148*J145</f>
        <v>890999.99999999988</v>
      </c>
      <c r="L148" t="s">
        <v>140</v>
      </c>
      <c r="M148" s="9">
        <v>7500</v>
      </c>
      <c r="N148" t="s">
        <v>146</v>
      </c>
    </row>
    <row r="149" spans="1:14" x14ac:dyDescent="0.25">
      <c r="A149" s="8">
        <v>45018</v>
      </c>
      <c r="B149" t="s">
        <v>45</v>
      </c>
      <c r="C149">
        <v>11</v>
      </c>
      <c r="D149" t="s">
        <v>71</v>
      </c>
      <c r="E149" s="9">
        <v>25000</v>
      </c>
      <c r="F149" s="9">
        <f t="shared" si="4"/>
        <v>275000</v>
      </c>
      <c r="I149" t="s">
        <v>48</v>
      </c>
      <c r="J149" s="9">
        <f>+SUM(C145:C222)*M149</f>
        <v>772500</v>
      </c>
      <c r="L149" t="s">
        <v>48</v>
      </c>
      <c r="M149" s="9">
        <v>500</v>
      </c>
      <c r="N149" t="s">
        <v>147</v>
      </c>
    </row>
    <row r="150" spans="1:14" x14ac:dyDescent="0.25">
      <c r="A150" s="8">
        <v>45019</v>
      </c>
      <c r="B150" t="s">
        <v>39</v>
      </c>
      <c r="C150">
        <v>36</v>
      </c>
      <c r="D150" t="s">
        <v>72</v>
      </c>
      <c r="E150" s="9">
        <v>26000</v>
      </c>
      <c r="F150" s="9">
        <f t="shared" si="4"/>
        <v>936000</v>
      </c>
      <c r="I150" t="s">
        <v>142</v>
      </c>
      <c r="J150" s="9">
        <f>10*30*M150</f>
        <v>18900000</v>
      </c>
      <c r="L150" t="s">
        <v>142</v>
      </c>
      <c r="M150" s="9">
        <v>63000</v>
      </c>
      <c r="N150" t="s">
        <v>148</v>
      </c>
    </row>
    <row r="151" spans="1:14" x14ac:dyDescent="0.25">
      <c r="B151" t="s">
        <v>64</v>
      </c>
      <c r="C151">
        <v>4</v>
      </c>
      <c r="D151" t="s">
        <v>72</v>
      </c>
      <c r="E151" s="9">
        <v>26000</v>
      </c>
      <c r="F151" s="9">
        <f t="shared" si="4"/>
        <v>104000</v>
      </c>
      <c r="I151" t="s">
        <v>145</v>
      </c>
      <c r="J151" s="9">
        <f>+M151*30</f>
        <v>1800000</v>
      </c>
      <c r="L151" t="s">
        <v>143</v>
      </c>
      <c r="M151" s="9">
        <v>60000</v>
      </c>
      <c r="N151" t="s">
        <v>149</v>
      </c>
    </row>
    <row r="152" spans="1:14" x14ac:dyDescent="0.25">
      <c r="A152" s="8">
        <v>45020</v>
      </c>
      <c r="B152" t="s">
        <v>52</v>
      </c>
      <c r="C152">
        <v>10</v>
      </c>
      <c r="D152" t="s">
        <v>71</v>
      </c>
      <c r="E152" s="9">
        <v>26000</v>
      </c>
      <c r="F152" s="9">
        <f t="shared" si="4"/>
        <v>260000</v>
      </c>
      <c r="I152" t="s">
        <v>150</v>
      </c>
      <c r="J152" s="9">
        <v>15000</v>
      </c>
      <c r="K152" s="27"/>
      <c r="M152" s="9"/>
    </row>
    <row r="153" spans="1:14" x14ac:dyDescent="0.25">
      <c r="B153" t="s">
        <v>86</v>
      </c>
      <c r="C153">
        <v>4</v>
      </c>
      <c r="D153" t="s">
        <v>72</v>
      </c>
      <c r="E153" s="9">
        <v>26000</v>
      </c>
      <c r="F153" s="9">
        <f t="shared" si="4"/>
        <v>104000</v>
      </c>
      <c r="I153" t="s">
        <v>151</v>
      </c>
      <c r="J153" s="9">
        <v>150000</v>
      </c>
      <c r="M153" s="9"/>
    </row>
    <row r="154" spans="1:14" x14ac:dyDescent="0.25">
      <c r="B154" t="s">
        <v>42</v>
      </c>
      <c r="C154">
        <v>27</v>
      </c>
      <c r="D154" t="s">
        <v>72</v>
      </c>
      <c r="E154" s="9">
        <v>26000</v>
      </c>
      <c r="F154" s="9">
        <f t="shared" si="4"/>
        <v>702000</v>
      </c>
      <c r="I154" t="s">
        <v>152</v>
      </c>
      <c r="J154" s="9">
        <f>+SUM(J148:J153)</f>
        <v>22528500</v>
      </c>
      <c r="N154" s="9"/>
    </row>
    <row r="155" spans="1:14" x14ac:dyDescent="0.25">
      <c r="B155" t="s">
        <v>88</v>
      </c>
      <c r="C155">
        <v>4</v>
      </c>
      <c r="D155" t="s">
        <v>72</v>
      </c>
      <c r="E155" s="9">
        <v>27000</v>
      </c>
      <c r="F155" s="9">
        <f t="shared" si="4"/>
        <v>108000</v>
      </c>
      <c r="M155" s="9"/>
    </row>
    <row r="156" spans="1:14" x14ac:dyDescent="0.25">
      <c r="B156" t="s">
        <v>73</v>
      </c>
      <c r="C156">
        <v>4</v>
      </c>
      <c r="D156" t="s">
        <v>72</v>
      </c>
      <c r="E156" s="9">
        <v>25000</v>
      </c>
      <c r="F156" s="9">
        <f t="shared" si="4"/>
        <v>100000</v>
      </c>
      <c r="I156" t="s">
        <v>153</v>
      </c>
      <c r="J156" s="9">
        <f>+SUM(F145:F222)</f>
        <v>36962000</v>
      </c>
      <c r="M156" s="9"/>
    </row>
    <row r="157" spans="1:14" ht="15.75" thickBot="1" x14ac:dyDescent="0.3">
      <c r="B157" t="s">
        <v>94</v>
      </c>
      <c r="C157">
        <v>3</v>
      </c>
      <c r="D157" t="s">
        <v>69</v>
      </c>
      <c r="E157" s="9">
        <v>28000</v>
      </c>
      <c r="F157" s="9">
        <f t="shared" si="4"/>
        <v>84000</v>
      </c>
      <c r="M157" s="9"/>
    </row>
    <row r="158" spans="1:14" ht="15.75" thickBot="1" x14ac:dyDescent="0.3">
      <c r="B158" t="s">
        <v>95</v>
      </c>
      <c r="C158">
        <v>2</v>
      </c>
      <c r="D158" t="s">
        <v>69</v>
      </c>
      <c r="E158" s="9">
        <v>28000</v>
      </c>
      <c r="F158" s="9">
        <f t="shared" si="4"/>
        <v>56000</v>
      </c>
      <c r="I158" s="34" t="s">
        <v>155</v>
      </c>
      <c r="J158" s="35">
        <f>+J156-J154</f>
        <v>14433500</v>
      </c>
      <c r="M158" s="9"/>
    </row>
    <row r="159" spans="1:14" x14ac:dyDescent="0.25">
      <c r="B159" t="s">
        <v>45</v>
      </c>
      <c r="C159">
        <v>2</v>
      </c>
      <c r="D159" t="s">
        <v>71</v>
      </c>
      <c r="E159" s="9">
        <v>25000</v>
      </c>
      <c r="F159" s="9">
        <f t="shared" si="4"/>
        <v>50000</v>
      </c>
    </row>
    <row r="160" spans="1:14" x14ac:dyDescent="0.25">
      <c r="B160" t="s">
        <v>89</v>
      </c>
      <c r="C160">
        <v>10</v>
      </c>
      <c r="D160" t="s">
        <v>72</v>
      </c>
      <c r="E160" s="9">
        <v>26000</v>
      </c>
      <c r="F160" s="9">
        <f t="shared" si="4"/>
        <v>260000</v>
      </c>
    </row>
    <row r="161" spans="1:6" x14ac:dyDescent="0.25">
      <c r="A161" s="8">
        <v>45021</v>
      </c>
      <c r="B161" t="s">
        <v>87</v>
      </c>
      <c r="C161">
        <v>4</v>
      </c>
      <c r="D161" t="s">
        <v>72</v>
      </c>
      <c r="E161" s="9">
        <v>27000</v>
      </c>
      <c r="F161" s="9">
        <f t="shared" si="4"/>
        <v>108000</v>
      </c>
    </row>
    <row r="162" spans="1:6" x14ac:dyDescent="0.25">
      <c r="B162" t="s">
        <v>64</v>
      </c>
      <c r="C162">
        <v>6</v>
      </c>
      <c r="D162" t="s">
        <v>72</v>
      </c>
      <c r="E162" s="9">
        <v>26000</v>
      </c>
      <c r="F162" s="9">
        <f t="shared" ref="F162:F225" si="5">+E162*C162</f>
        <v>156000</v>
      </c>
    </row>
    <row r="163" spans="1:6" x14ac:dyDescent="0.25">
      <c r="B163" t="s">
        <v>78</v>
      </c>
      <c r="C163">
        <v>3</v>
      </c>
      <c r="D163" t="s">
        <v>69</v>
      </c>
      <c r="E163" s="9">
        <v>27000</v>
      </c>
      <c r="F163" s="9">
        <f t="shared" si="5"/>
        <v>81000</v>
      </c>
    </row>
    <row r="164" spans="1:6" x14ac:dyDescent="0.25">
      <c r="B164" t="s">
        <v>45</v>
      </c>
      <c r="C164">
        <v>2</v>
      </c>
      <c r="D164" t="s">
        <v>71</v>
      </c>
      <c r="E164" s="9">
        <v>26000</v>
      </c>
      <c r="F164" s="9">
        <f t="shared" si="5"/>
        <v>52000</v>
      </c>
    </row>
    <row r="165" spans="1:6" x14ac:dyDescent="0.25">
      <c r="B165" t="s">
        <v>52</v>
      </c>
      <c r="C165">
        <v>15</v>
      </c>
      <c r="D165" t="s">
        <v>72</v>
      </c>
      <c r="E165" s="9">
        <v>26000</v>
      </c>
      <c r="F165" s="9">
        <f t="shared" si="5"/>
        <v>390000</v>
      </c>
    </row>
    <row r="166" spans="1:6" x14ac:dyDescent="0.25">
      <c r="B166" t="s">
        <v>42</v>
      </c>
      <c r="C166">
        <v>18</v>
      </c>
      <c r="D166" t="s">
        <v>72</v>
      </c>
      <c r="E166" s="9">
        <v>26000</v>
      </c>
      <c r="F166" s="9">
        <f t="shared" si="5"/>
        <v>468000</v>
      </c>
    </row>
    <row r="167" spans="1:6" x14ac:dyDescent="0.25">
      <c r="A167" s="8">
        <v>45024</v>
      </c>
      <c r="B167" t="s">
        <v>76</v>
      </c>
      <c r="C167">
        <v>1</v>
      </c>
      <c r="D167" t="s">
        <v>96</v>
      </c>
      <c r="E167" s="9">
        <v>30000</v>
      </c>
      <c r="F167" s="9">
        <f t="shared" si="5"/>
        <v>30000</v>
      </c>
    </row>
    <row r="168" spans="1:6" x14ac:dyDescent="0.25">
      <c r="B168" t="s">
        <v>97</v>
      </c>
      <c r="C168">
        <v>15</v>
      </c>
      <c r="D168" t="s">
        <v>72</v>
      </c>
      <c r="E168" s="9">
        <v>25000</v>
      </c>
      <c r="F168" s="9">
        <f t="shared" si="5"/>
        <v>375000</v>
      </c>
    </row>
    <row r="169" spans="1:6" x14ac:dyDescent="0.25">
      <c r="B169" t="s">
        <v>45</v>
      </c>
      <c r="C169">
        <v>2</v>
      </c>
      <c r="D169" t="s">
        <v>71</v>
      </c>
      <c r="E169" s="9">
        <v>25000</v>
      </c>
      <c r="F169" s="9">
        <f t="shared" si="5"/>
        <v>50000</v>
      </c>
    </row>
    <row r="170" spans="1:6" x14ac:dyDescent="0.25">
      <c r="A170" s="8">
        <v>45026</v>
      </c>
      <c r="B170" t="s">
        <v>42</v>
      </c>
      <c r="C170">
        <v>20</v>
      </c>
      <c r="D170" t="s">
        <v>69</v>
      </c>
      <c r="E170" s="9">
        <v>25000</v>
      </c>
      <c r="F170" s="9">
        <f t="shared" si="5"/>
        <v>500000</v>
      </c>
    </row>
    <row r="171" spans="1:6" x14ac:dyDescent="0.25">
      <c r="A171" s="8">
        <v>45027</v>
      </c>
      <c r="B171" t="s">
        <v>83</v>
      </c>
      <c r="C171">
        <v>100</v>
      </c>
      <c r="D171" t="s">
        <v>72</v>
      </c>
      <c r="E171" s="9">
        <v>25000</v>
      </c>
      <c r="F171" s="9">
        <f t="shared" si="5"/>
        <v>2500000</v>
      </c>
    </row>
    <row r="172" spans="1:6" x14ac:dyDescent="0.25">
      <c r="A172" s="8">
        <v>45028</v>
      </c>
      <c r="B172" t="s">
        <v>42</v>
      </c>
      <c r="C172">
        <v>20</v>
      </c>
      <c r="D172" t="s">
        <v>72</v>
      </c>
      <c r="E172" s="9">
        <v>25000</v>
      </c>
      <c r="F172" s="9">
        <f t="shared" si="5"/>
        <v>500000</v>
      </c>
    </row>
    <row r="173" spans="1:6" x14ac:dyDescent="0.25">
      <c r="A173" s="8">
        <v>45029</v>
      </c>
      <c r="B173" t="s">
        <v>87</v>
      </c>
      <c r="C173">
        <v>5</v>
      </c>
      <c r="D173" t="s">
        <v>72</v>
      </c>
      <c r="E173" s="9">
        <v>25000</v>
      </c>
      <c r="F173" s="9">
        <f t="shared" si="5"/>
        <v>125000</v>
      </c>
    </row>
    <row r="174" spans="1:6" x14ac:dyDescent="0.25">
      <c r="A174" s="8">
        <v>45030</v>
      </c>
      <c r="B174" t="s">
        <v>45</v>
      </c>
      <c r="C174">
        <v>3</v>
      </c>
      <c r="D174" t="s">
        <v>69</v>
      </c>
      <c r="E174" s="9">
        <v>27000</v>
      </c>
      <c r="F174" s="9">
        <f t="shared" si="5"/>
        <v>81000</v>
      </c>
    </row>
    <row r="175" spans="1:6" x14ac:dyDescent="0.25">
      <c r="B175" t="s">
        <v>52</v>
      </c>
      <c r="C175">
        <v>16</v>
      </c>
      <c r="D175" t="s">
        <v>72</v>
      </c>
      <c r="E175" s="9">
        <v>25000</v>
      </c>
      <c r="F175" s="9">
        <f t="shared" si="5"/>
        <v>400000</v>
      </c>
    </row>
    <row r="176" spans="1:6" x14ac:dyDescent="0.25">
      <c r="B176" t="s">
        <v>86</v>
      </c>
      <c r="C176">
        <v>4</v>
      </c>
      <c r="D176" t="s">
        <v>69</v>
      </c>
      <c r="E176" s="9">
        <v>25000</v>
      </c>
      <c r="F176" s="9">
        <f t="shared" si="5"/>
        <v>100000</v>
      </c>
    </row>
    <row r="177" spans="1:6" x14ac:dyDescent="0.25">
      <c r="B177" t="s">
        <v>88</v>
      </c>
      <c r="C177">
        <v>4</v>
      </c>
      <c r="D177" t="s">
        <v>72</v>
      </c>
      <c r="E177" s="9">
        <v>25000</v>
      </c>
      <c r="F177" s="9">
        <f t="shared" si="5"/>
        <v>100000</v>
      </c>
    </row>
    <row r="178" spans="1:6" x14ac:dyDescent="0.25">
      <c r="B178" t="s">
        <v>68</v>
      </c>
      <c r="C178">
        <v>10</v>
      </c>
      <c r="D178" t="s">
        <v>72</v>
      </c>
      <c r="E178" s="9">
        <v>25000</v>
      </c>
      <c r="F178" s="9">
        <f t="shared" si="5"/>
        <v>250000</v>
      </c>
    </row>
    <row r="179" spans="1:6" x14ac:dyDescent="0.25">
      <c r="B179" t="s">
        <v>98</v>
      </c>
      <c r="C179">
        <v>6</v>
      </c>
      <c r="D179" t="s">
        <v>72</v>
      </c>
      <c r="E179" s="9">
        <v>25000</v>
      </c>
      <c r="F179" s="9">
        <f t="shared" si="5"/>
        <v>150000</v>
      </c>
    </row>
    <row r="180" spans="1:6" x14ac:dyDescent="0.25">
      <c r="B180" t="s">
        <v>42</v>
      </c>
      <c r="C180">
        <v>30</v>
      </c>
      <c r="D180" t="s">
        <v>72</v>
      </c>
      <c r="E180" s="9">
        <v>25000</v>
      </c>
      <c r="F180" s="9">
        <f t="shared" si="5"/>
        <v>750000</v>
      </c>
    </row>
    <row r="181" spans="1:6" x14ac:dyDescent="0.25">
      <c r="A181" s="8">
        <v>45033</v>
      </c>
      <c r="B181" t="s">
        <v>58</v>
      </c>
      <c r="C181">
        <v>12</v>
      </c>
      <c r="D181" t="s">
        <v>72</v>
      </c>
      <c r="E181" s="9">
        <v>23000</v>
      </c>
      <c r="F181" s="9">
        <f t="shared" si="5"/>
        <v>276000</v>
      </c>
    </row>
    <row r="182" spans="1:6" x14ac:dyDescent="0.25">
      <c r="B182" t="s">
        <v>42</v>
      </c>
      <c r="C182">
        <v>30</v>
      </c>
      <c r="D182" t="s">
        <v>72</v>
      </c>
      <c r="E182" s="9">
        <v>24000</v>
      </c>
      <c r="F182" s="9">
        <f t="shared" si="5"/>
        <v>720000</v>
      </c>
    </row>
    <row r="183" spans="1:6" x14ac:dyDescent="0.25">
      <c r="B183" t="s">
        <v>60</v>
      </c>
      <c r="C183">
        <v>80</v>
      </c>
      <c r="D183" t="s">
        <v>72</v>
      </c>
      <c r="E183" s="9">
        <v>23000</v>
      </c>
      <c r="F183" s="9">
        <f t="shared" si="5"/>
        <v>1840000</v>
      </c>
    </row>
    <row r="184" spans="1:6" x14ac:dyDescent="0.25">
      <c r="B184" t="s">
        <v>99</v>
      </c>
      <c r="C184">
        <v>20</v>
      </c>
      <c r="D184" t="s">
        <v>72</v>
      </c>
      <c r="E184" s="9">
        <v>24000</v>
      </c>
      <c r="F184" s="9">
        <f t="shared" si="5"/>
        <v>480000</v>
      </c>
    </row>
    <row r="185" spans="1:6" x14ac:dyDescent="0.25">
      <c r="A185" s="8">
        <v>45036</v>
      </c>
      <c r="B185" t="s">
        <v>83</v>
      </c>
      <c r="C185">
        <v>177</v>
      </c>
      <c r="D185" t="s">
        <v>72</v>
      </c>
      <c r="E185" s="9">
        <v>23000</v>
      </c>
      <c r="F185" s="9">
        <f t="shared" si="5"/>
        <v>4071000</v>
      </c>
    </row>
    <row r="186" spans="1:6" x14ac:dyDescent="0.25">
      <c r="B186" t="s">
        <v>99</v>
      </c>
      <c r="C186">
        <v>33</v>
      </c>
      <c r="D186" t="s">
        <v>72</v>
      </c>
      <c r="E186" s="9">
        <v>23000</v>
      </c>
      <c r="F186" s="9">
        <f t="shared" si="5"/>
        <v>759000</v>
      </c>
    </row>
    <row r="187" spans="1:6" x14ac:dyDescent="0.25">
      <c r="B187" t="s">
        <v>99</v>
      </c>
      <c r="C187">
        <v>30</v>
      </c>
      <c r="D187" t="s">
        <v>71</v>
      </c>
      <c r="E187" s="9">
        <v>22000</v>
      </c>
      <c r="F187" s="9">
        <f t="shared" si="5"/>
        <v>660000</v>
      </c>
    </row>
    <row r="188" spans="1:6" x14ac:dyDescent="0.25">
      <c r="B188" t="s">
        <v>99</v>
      </c>
      <c r="C188">
        <v>23</v>
      </c>
      <c r="D188" t="s">
        <v>69</v>
      </c>
      <c r="E188" s="9">
        <v>24000</v>
      </c>
      <c r="F188" s="9">
        <f t="shared" si="5"/>
        <v>552000</v>
      </c>
    </row>
    <row r="189" spans="1:6" x14ac:dyDescent="0.25">
      <c r="B189" t="s">
        <v>100</v>
      </c>
      <c r="C189">
        <v>2</v>
      </c>
      <c r="D189" t="s">
        <v>72</v>
      </c>
      <c r="E189" s="9">
        <v>25000</v>
      </c>
      <c r="F189" s="9">
        <f t="shared" si="5"/>
        <v>50000</v>
      </c>
    </row>
    <row r="190" spans="1:6" x14ac:dyDescent="0.25">
      <c r="B190" t="s">
        <v>100</v>
      </c>
      <c r="C190">
        <v>3</v>
      </c>
      <c r="D190" t="s">
        <v>96</v>
      </c>
      <c r="E190" s="9">
        <v>30000</v>
      </c>
      <c r="F190" s="9">
        <f t="shared" si="5"/>
        <v>90000</v>
      </c>
    </row>
    <row r="191" spans="1:6" x14ac:dyDescent="0.25">
      <c r="A191" s="8">
        <v>45037</v>
      </c>
      <c r="B191" t="s">
        <v>64</v>
      </c>
      <c r="C191">
        <v>2</v>
      </c>
      <c r="D191" t="s">
        <v>71</v>
      </c>
      <c r="E191" s="9">
        <v>24000</v>
      </c>
      <c r="F191" s="9">
        <f t="shared" si="5"/>
        <v>48000</v>
      </c>
    </row>
    <row r="192" spans="1:6" x14ac:dyDescent="0.25">
      <c r="B192" t="s">
        <v>85</v>
      </c>
      <c r="C192">
        <v>10</v>
      </c>
      <c r="D192" t="s">
        <v>69</v>
      </c>
      <c r="E192" s="9">
        <v>24000</v>
      </c>
      <c r="F192" s="9">
        <f t="shared" si="5"/>
        <v>240000</v>
      </c>
    </row>
    <row r="193" spans="1:6" x14ac:dyDescent="0.25">
      <c r="B193" t="s">
        <v>89</v>
      </c>
      <c r="C193">
        <v>10</v>
      </c>
      <c r="D193" t="s">
        <v>71</v>
      </c>
      <c r="E193" s="9">
        <v>24000</v>
      </c>
      <c r="F193" s="9">
        <f t="shared" si="5"/>
        <v>240000</v>
      </c>
    </row>
    <row r="194" spans="1:6" x14ac:dyDescent="0.25">
      <c r="A194" s="8">
        <v>45038</v>
      </c>
      <c r="B194" t="s">
        <v>42</v>
      </c>
      <c r="C194">
        <v>20</v>
      </c>
      <c r="D194" t="s">
        <v>69</v>
      </c>
      <c r="E194" s="9">
        <v>23000</v>
      </c>
      <c r="F194" s="9">
        <f t="shared" si="5"/>
        <v>460000</v>
      </c>
    </row>
    <row r="195" spans="1:6" x14ac:dyDescent="0.25">
      <c r="B195" t="s">
        <v>51</v>
      </c>
      <c r="C195">
        <v>20</v>
      </c>
      <c r="D195" t="s">
        <v>72</v>
      </c>
      <c r="E195" s="9">
        <v>23000</v>
      </c>
      <c r="F195" s="9">
        <f t="shared" si="5"/>
        <v>460000</v>
      </c>
    </row>
    <row r="196" spans="1:6" x14ac:dyDescent="0.25">
      <c r="B196" t="s">
        <v>86</v>
      </c>
      <c r="C196">
        <v>4</v>
      </c>
      <c r="D196" t="s">
        <v>69</v>
      </c>
      <c r="E196" s="9">
        <v>25000</v>
      </c>
      <c r="F196" s="9">
        <f t="shared" si="5"/>
        <v>100000</v>
      </c>
    </row>
    <row r="197" spans="1:6" x14ac:dyDescent="0.25">
      <c r="B197" t="s">
        <v>99</v>
      </c>
      <c r="C197">
        <v>25</v>
      </c>
      <c r="D197" t="s">
        <v>71</v>
      </c>
      <c r="E197" s="9">
        <v>22000</v>
      </c>
      <c r="F197" s="9">
        <f t="shared" si="5"/>
        <v>550000</v>
      </c>
    </row>
    <row r="198" spans="1:6" x14ac:dyDescent="0.25">
      <c r="B198" t="s">
        <v>83</v>
      </c>
      <c r="C198">
        <v>157</v>
      </c>
      <c r="D198" t="s">
        <v>72</v>
      </c>
      <c r="E198" s="9">
        <v>23000</v>
      </c>
      <c r="F198" s="9">
        <f t="shared" si="5"/>
        <v>3611000</v>
      </c>
    </row>
    <row r="199" spans="1:6" x14ac:dyDescent="0.25">
      <c r="A199" s="8">
        <v>45040</v>
      </c>
      <c r="B199" t="s">
        <v>42</v>
      </c>
      <c r="C199">
        <v>20</v>
      </c>
      <c r="D199" t="s">
        <v>69</v>
      </c>
      <c r="E199" s="9">
        <v>23000</v>
      </c>
      <c r="F199" s="9">
        <f t="shared" si="5"/>
        <v>460000</v>
      </c>
    </row>
    <row r="200" spans="1:6" x14ac:dyDescent="0.25">
      <c r="B200" t="s">
        <v>101</v>
      </c>
      <c r="C200">
        <v>15</v>
      </c>
      <c r="D200" t="s">
        <v>69</v>
      </c>
      <c r="E200" s="9">
        <v>23000</v>
      </c>
      <c r="F200" s="9">
        <f t="shared" si="5"/>
        <v>345000</v>
      </c>
    </row>
    <row r="201" spans="1:6" x14ac:dyDescent="0.25">
      <c r="A201" s="8">
        <v>45042</v>
      </c>
      <c r="B201" t="s">
        <v>87</v>
      </c>
      <c r="C201">
        <v>6</v>
      </c>
      <c r="D201" t="s">
        <v>72</v>
      </c>
      <c r="E201" s="9">
        <v>24000</v>
      </c>
      <c r="F201" s="9">
        <f t="shared" si="5"/>
        <v>144000</v>
      </c>
    </row>
    <row r="202" spans="1:6" x14ac:dyDescent="0.25">
      <c r="B202" t="s">
        <v>52</v>
      </c>
      <c r="C202">
        <v>15</v>
      </c>
      <c r="D202" t="s">
        <v>71</v>
      </c>
      <c r="E202" s="9">
        <v>22000</v>
      </c>
      <c r="F202" s="9">
        <f t="shared" si="5"/>
        <v>330000</v>
      </c>
    </row>
    <row r="203" spans="1:6" x14ac:dyDescent="0.25">
      <c r="B203" t="s">
        <v>88</v>
      </c>
      <c r="C203">
        <v>4</v>
      </c>
      <c r="D203" t="s">
        <v>72</v>
      </c>
      <c r="E203" s="9">
        <v>24000</v>
      </c>
      <c r="F203" s="9">
        <f t="shared" si="5"/>
        <v>96000</v>
      </c>
    </row>
    <row r="204" spans="1:6" x14ac:dyDescent="0.25">
      <c r="B204" t="s">
        <v>51</v>
      </c>
      <c r="C204">
        <v>20</v>
      </c>
      <c r="D204" t="s">
        <v>72</v>
      </c>
      <c r="E204" s="9">
        <v>23000</v>
      </c>
      <c r="F204" s="9">
        <f t="shared" si="5"/>
        <v>460000</v>
      </c>
    </row>
    <row r="205" spans="1:6" x14ac:dyDescent="0.25">
      <c r="B205" t="s">
        <v>42</v>
      </c>
      <c r="C205">
        <v>30</v>
      </c>
      <c r="D205" t="s">
        <v>72</v>
      </c>
      <c r="E205" s="9">
        <v>23000</v>
      </c>
      <c r="F205" s="9">
        <f t="shared" si="5"/>
        <v>690000</v>
      </c>
    </row>
    <row r="206" spans="1:6" x14ac:dyDescent="0.25">
      <c r="B206" t="s">
        <v>83</v>
      </c>
      <c r="C206">
        <v>29</v>
      </c>
      <c r="D206" t="s">
        <v>72</v>
      </c>
      <c r="E206" s="9">
        <v>23000</v>
      </c>
      <c r="F206" s="9">
        <f t="shared" si="5"/>
        <v>667000</v>
      </c>
    </row>
    <row r="207" spans="1:6" x14ac:dyDescent="0.25">
      <c r="B207" t="s">
        <v>102</v>
      </c>
      <c r="C207">
        <v>20</v>
      </c>
      <c r="D207" t="s">
        <v>69</v>
      </c>
      <c r="E207" s="9">
        <v>24000</v>
      </c>
      <c r="F207" s="9">
        <f t="shared" si="5"/>
        <v>480000</v>
      </c>
    </row>
    <row r="208" spans="1:6" x14ac:dyDescent="0.25">
      <c r="B208" t="s">
        <v>64</v>
      </c>
      <c r="C208">
        <v>4</v>
      </c>
      <c r="D208" t="s">
        <v>72</v>
      </c>
      <c r="E208" s="9">
        <v>24000</v>
      </c>
      <c r="F208" s="9">
        <f t="shared" si="5"/>
        <v>96000</v>
      </c>
    </row>
    <row r="209" spans="1:13" x14ac:dyDescent="0.25">
      <c r="A209" s="8">
        <v>45043</v>
      </c>
      <c r="B209" t="s">
        <v>39</v>
      </c>
      <c r="C209">
        <v>30</v>
      </c>
      <c r="D209" t="s">
        <v>72</v>
      </c>
      <c r="E209" s="9">
        <v>22000</v>
      </c>
      <c r="F209" s="9">
        <f t="shared" si="5"/>
        <v>660000</v>
      </c>
    </row>
    <row r="210" spans="1:13" x14ac:dyDescent="0.25">
      <c r="A210" s="8">
        <v>45043</v>
      </c>
      <c r="B210" t="s">
        <v>42</v>
      </c>
      <c r="C210">
        <v>30</v>
      </c>
      <c r="D210" t="s">
        <v>72</v>
      </c>
      <c r="E210" s="9">
        <v>23000</v>
      </c>
      <c r="F210" s="9">
        <f t="shared" si="5"/>
        <v>690000</v>
      </c>
    </row>
    <row r="211" spans="1:13" x14ac:dyDescent="0.25">
      <c r="B211" t="s">
        <v>80</v>
      </c>
      <c r="C211">
        <v>20</v>
      </c>
      <c r="D211" t="s">
        <v>72</v>
      </c>
      <c r="E211" s="9">
        <v>23000</v>
      </c>
      <c r="F211" s="9">
        <f t="shared" si="5"/>
        <v>460000</v>
      </c>
    </row>
    <row r="212" spans="1:13" x14ac:dyDescent="0.25">
      <c r="B212" t="s">
        <v>44</v>
      </c>
      <c r="C212">
        <v>4</v>
      </c>
      <c r="D212" t="s">
        <v>96</v>
      </c>
      <c r="E212" s="9">
        <v>25000</v>
      </c>
      <c r="F212" s="9">
        <f t="shared" si="5"/>
        <v>100000</v>
      </c>
    </row>
    <row r="213" spans="1:13" x14ac:dyDescent="0.25">
      <c r="B213" t="s">
        <v>103</v>
      </c>
      <c r="C213">
        <v>12</v>
      </c>
      <c r="D213" t="s">
        <v>69</v>
      </c>
      <c r="E213" s="9">
        <v>23000</v>
      </c>
      <c r="F213" s="9">
        <f t="shared" si="5"/>
        <v>276000</v>
      </c>
    </row>
    <row r="214" spans="1:13" x14ac:dyDescent="0.25">
      <c r="A214" s="8">
        <v>45044</v>
      </c>
      <c r="B214" t="s">
        <v>103</v>
      </c>
      <c r="C214">
        <v>12</v>
      </c>
      <c r="D214" t="s">
        <v>69</v>
      </c>
      <c r="E214" s="9">
        <v>23000</v>
      </c>
      <c r="F214" s="9">
        <f t="shared" si="5"/>
        <v>276000</v>
      </c>
    </row>
    <row r="215" spans="1:13" x14ac:dyDescent="0.25">
      <c r="B215" t="s">
        <v>51</v>
      </c>
      <c r="C215">
        <v>20</v>
      </c>
      <c r="D215" t="s">
        <v>72</v>
      </c>
      <c r="E215" s="9">
        <v>23000</v>
      </c>
      <c r="F215" s="9">
        <f t="shared" si="5"/>
        <v>460000</v>
      </c>
    </row>
    <row r="216" spans="1:13" x14ac:dyDescent="0.25">
      <c r="B216" t="s">
        <v>104</v>
      </c>
      <c r="C216">
        <v>10</v>
      </c>
      <c r="D216" t="s">
        <v>72</v>
      </c>
      <c r="E216" s="9">
        <v>23000</v>
      </c>
      <c r="F216" s="9">
        <f t="shared" si="5"/>
        <v>230000</v>
      </c>
    </row>
    <row r="217" spans="1:13" x14ac:dyDescent="0.25">
      <c r="B217" t="s">
        <v>89</v>
      </c>
      <c r="C217">
        <v>10</v>
      </c>
      <c r="D217" t="s">
        <v>72</v>
      </c>
      <c r="E217" s="9">
        <v>24000</v>
      </c>
      <c r="F217" s="9">
        <f t="shared" si="5"/>
        <v>240000</v>
      </c>
    </row>
    <row r="218" spans="1:13" x14ac:dyDescent="0.25">
      <c r="A218" s="8">
        <v>45045</v>
      </c>
      <c r="B218" t="s">
        <v>58</v>
      </c>
      <c r="C218">
        <v>10</v>
      </c>
      <c r="D218" t="s">
        <v>72</v>
      </c>
      <c r="E218" s="9">
        <v>23000</v>
      </c>
      <c r="F218" s="9">
        <f t="shared" si="5"/>
        <v>230000</v>
      </c>
    </row>
    <row r="219" spans="1:13" x14ac:dyDescent="0.25">
      <c r="B219" t="s">
        <v>104</v>
      </c>
      <c r="C219">
        <v>10</v>
      </c>
      <c r="D219" t="s">
        <v>69</v>
      </c>
      <c r="E219" s="9">
        <v>24000</v>
      </c>
      <c r="F219" s="9">
        <f t="shared" si="5"/>
        <v>240000</v>
      </c>
    </row>
    <row r="220" spans="1:13" x14ac:dyDescent="0.25">
      <c r="B220" t="s">
        <v>104</v>
      </c>
      <c r="C220">
        <v>20</v>
      </c>
      <c r="D220" t="s">
        <v>71</v>
      </c>
      <c r="E220" s="9">
        <v>22000</v>
      </c>
      <c r="F220" s="9">
        <f t="shared" si="5"/>
        <v>440000</v>
      </c>
    </row>
    <row r="221" spans="1:13" x14ac:dyDescent="0.25">
      <c r="B221" t="s">
        <v>42</v>
      </c>
      <c r="C221">
        <v>10</v>
      </c>
      <c r="D221" t="s">
        <v>72</v>
      </c>
      <c r="E221" s="9">
        <v>23000</v>
      </c>
      <c r="F221" s="9">
        <f t="shared" si="5"/>
        <v>230000</v>
      </c>
    </row>
    <row r="222" spans="1:13" x14ac:dyDescent="0.25">
      <c r="B222" t="s">
        <v>98</v>
      </c>
      <c r="C222">
        <v>6</v>
      </c>
      <c r="D222" t="s">
        <v>72</v>
      </c>
      <c r="E222" s="9">
        <v>24000</v>
      </c>
      <c r="F222" s="9">
        <f t="shared" si="5"/>
        <v>144000</v>
      </c>
    </row>
    <row r="223" spans="1:13" s="30" customFormat="1" x14ac:dyDescent="0.25">
      <c r="A223" s="29">
        <v>45048</v>
      </c>
      <c r="B223" s="30" t="s">
        <v>83</v>
      </c>
      <c r="C223" s="30">
        <v>110</v>
      </c>
      <c r="D223" s="30" t="s">
        <v>72</v>
      </c>
      <c r="E223" s="31">
        <v>23000</v>
      </c>
      <c r="F223" s="31">
        <f t="shared" si="5"/>
        <v>2530000</v>
      </c>
      <c r="G223" s="31">
        <f>+SUM(F223:F311)/SUM(C223:C311)</f>
        <v>23027.659574468085</v>
      </c>
      <c r="I223" s="36" t="s">
        <v>139</v>
      </c>
      <c r="J223" s="31">
        <v>29</v>
      </c>
      <c r="M223" s="31"/>
    </row>
    <row r="224" spans="1:13" x14ac:dyDescent="0.25">
      <c r="B224" t="s">
        <v>51</v>
      </c>
      <c r="C224">
        <v>20</v>
      </c>
      <c r="D224" t="s">
        <v>72</v>
      </c>
      <c r="E224" s="9">
        <v>23000</v>
      </c>
      <c r="F224" s="9">
        <f t="shared" si="5"/>
        <v>460000</v>
      </c>
      <c r="M224" s="9"/>
    </row>
    <row r="225" spans="1:14" x14ac:dyDescent="0.25">
      <c r="B225" t="s">
        <v>42</v>
      </c>
      <c r="C225">
        <v>25</v>
      </c>
      <c r="D225" t="s">
        <v>69</v>
      </c>
      <c r="E225" s="9">
        <v>23000</v>
      </c>
      <c r="F225" s="9">
        <f t="shared" si="5"/>
        <v>575000</v>
      </c>
      <c r="I225" s="40" t="s">
        <v>144</v>
      </c>
      <c r="J225" s="40"/>
      <c r="L225" s="40" t="s">
        <v>141</v>
      </c>
      <c r="M225" s="40"/>
    </row>
    <row r="226" spans="1:14" x14ac:dyDescent="0.25">
      <c r="B226" t="s">
        <v>58</v>
      </c>
      <c r="C226">
        <v>7</v>
      </c>
      <c r="D226" t="s">
        <v>72</v>
      </c>
      <c r="E226" s="9">
        <v>23000</v>
      </c>
      <c r="F226" s="9">
        <f t="shared" ref="F226:F289" si="6">+E226*C226</f>
        <v>161000</v>
      </c>
      <c r="I226" t="s">
        <v>139</v>
      </c>
      <c r="J226" s="17">
        <f>60/100*9*M226*J223</f>
        <v>1174499.9999999998</v>
      </c>
      <c r="L226" t="s">
        <v>140</v>
      </c>
      <c r="M226" s="9">
        <v>7500</v>
      </c>
      <c r="N226" t="s">
        <v>146</v>
      </c>
    </row>
    <row r="227" spans="1:14" x14ac:dyDescent="0.25">
      <c r="B227" t="s">
        <v>101</v>
      </c>
      <c r="C227">
        <v>10</v>
      </c>
      <c r="D227" t="s">
        <v>69</v>
      </c>
      <c r="E227" s="9">
        <v>23000</v>
      </c>
      <c r="F227" s="9">
        <f t="shared" si="6"/>
        <v>230000</v>
      </c>
      <c r="I227" t="s">
        <v>48</v>
      </c>
      <c r="J227" s="9">
        <f>+SUM(C223:C311)*M227</f>
        <v>940000</v>
      </c>
      <c r="L227" t="s">
        <v>48</v>
      </c>
      <c r="M227" s="9">
        <v>500</v>
      </c>
      <c r="N227" t="s">
        <v>147</v>
      </c>
    </row>
    <row r="228" spans="1:14" x14ac:dyDescent="0.25">
      <c r="B228" t="s">
        <v>52</v>
      </c>
      <c r="C228">
        <v>10</v>
      </c>
      <c r="D228" t="s">
        <v>72</v>
      </c>
      <c r="E228" s="9">
        <v>23000</v>
      </c>
      <c r="F228" s="9">
        <f t="shared" si="6"/>
        <v>230000</v>
      </c>
      <c r="I228" t="s">
        <v>142</v>
      </c>
      <c r="J228" s="9">
        <f>10*31*M228</f>
        <v>19530000</v>
      </c>
      <c r="L228" t="s">
        <v>142</v>
      </c>
      <c r="M228" s="9">
        <v>63000</v>
      </c>
      <c r="N228" t="s">
        <v>148</v>
      </c>
    </row>
    <row r="229" spans="1:14" x14ac:dyDescent="0.25">
      <c r="B229" t="s">
        <v>52</v>
      </c>
      <c r="C229">
        <v>2</v>
      </c>
      <c r="D229" t="s">
        <v>71</v>
      </c>
      <c r="E229" s="9">
        <v>22000</v>
      </c>
      <c r="F229" s="9">
        <f t="shared" si="6"/>
        <v>44000</v>
      </c>
      <c r="I229" t="s">
        <v>145</v>
      </c>
      <c r="J229" s="9">
        <f>+M229*31</f>
        <v>1860000</v>
      </c>
      <c r="L229" t="s">
        <v>143</v>
      </c>
      <c r="M229" s="9">
        <v>60000</v>
      </c>
      <c r="N229" t="s">
        <v>149</v>
      </c>
    </row>
    <row r="230" spans="1:14" x14ac:dyDescent="0.25">
      <c r="B230" t="s">
        <v>104</v>
      </c>
      <c r="C230">
        <v>15</v>
      </c>
      <c r="D230" t="s">
        <v>69</v>
      </c>
      <c r="E230" s="9">
        <v>24000</v>
      </c>
      <c r="F230" s="9">
        <f t="shared" si="6"/>
        <v>360000</v>
      </c>
      <c r="I230" t="s">
        <v>150</v>
      </c>
      <c r="J230" s="9">
        <v>15000</v>
      </c>
      <c r="K230" s="27"/>
      <c r="M230" s="9"/>
    </row>
    <row r="231" spans="1:14" x14ac:dyDescent="0.25">
      <c r="A231" s="8">
        <v>45049</v>
      </c>
      <c r="B231" t="s">
        <v>83</v>
      </c>
      <c r="C231">
        <v>45</v>
      </c>
      <c r="D231" t="s">
        <v>72</v>
      </c>
      <c r="E231" s="9">
        <v>23000</v>
      </c>
      <c r="F231" s="9">
        <f t="shared" si="6"/>
        <v>1035000</v>
      </c>
      <c r="I231" t="s">
        <v>151</v>
      </c>
      <c r="J231" s="9">
        <v>150000</v>
      </c>
      <c r="M231" s="9"/>
    </row>
    <row r="232" spans="1:14" x14ac:dyDescent="0.25">
      <c r="B232" t="s">
        <v>45</v>
      </c>
      <c r="C232">
        <v>2</v>
      </c>
      <c r="D232" t="s">
        <v>69</v>
      </c>
      <c r="E232" s="9">
        <v>25000</v>
      </c>
      <c r="F232" s="9">
        <f t="shared" si="6"/>
        <v>50000</v>
      </c>
      <c r="I232" t="s">
        <v>152</v>
      </c>
      <c r="J232" s="9">
        <f>+SUM(J226:J231)</f>
        <v>23669500</v>
      </c>
      <c r="N232" s="9"/>
    </row>
    <row r="233" spans="1:14" x14ac:dyDescent="0.25">
      <c r="A233" s="8">
        <v>45050</v>
      </c>
      <c r="B233" t="s">
        <v>105</v>
      </c>
      <c r="C233">
        <v>10</v>
      </c>
      <c r="D233" t="s">
        <v>69</v>
      </c>
      <c r="E233" s="9">
        <v>24000</v>
      </c>
      <c r="F233" s="9">
        <f t="shared" si="6"/>
        <v>240000</v>
      </c>
      <c r="M233" s="9"/>
    </row>
    <row r="234" spans="1:14" x14ac:dyDescent="0.25">
      <c r="A234" s="8">
        <v>45051</v>
      </c>
      <c r="B234" t="s">
        <v>39</v>
      </c>
      <c r="C234">
        <v>36</v>
      </c>
      <c r="D234" t="s">
        <v>72</v>
      </c>
      <c r="E234" s="9">
        <v>22000</v>
      </c>
      <c r="F234" s="9">
        <f t="shared" si="6"/>
        <v>792000</v>
      </c>
      <c r="I234" t="s">
        <v>153</v>
      </c>
      <c r="J234" s="9">
        <f>+SUM(F223:F311)</f>
        <v>43292000</v>
      </c>
      <c r="M234" s="9"/>
    </row>
    <row r="235" spans="1:14" ht="15.75" thickBot="1" x14ac:dyDescent="0.3">
      <c r="B235" t="s">
        <v>45</v>
      </c>
      <c r="C235">
        <v>3</v>
      </c>
      <c r="D235" t="s">
        <v>69</v>
      </c>
      <c r="E235" s="9">
        <v>25000</v>
      </c>
      <c r="F235" s="9">
        <f t="shared" si="6"/>
        <v>75000</v>
      </c>
      <c r="M235" s="9"/>
    </row>
    <row r="236" spans="1:14" ht="15.75" thickBot="1" x14ac:dyDescent="0.3">
      <c r="A236" s="8">
        <v>45051</v>
      </c>
      <c r="B236" t="s">
        <v>52</v>
      </c>
      <c r="C236">
        <v>10</v>
      </c>
      <c r="D236" t="s">
        <v>72</v>
      </c>
      <c r="E236" s="9">
        <v>23000</v>
      </c>
      <c r="F236" s="9">
        <f t="shared" si="6"/>
        <v>230000</v>
      </c>
      <c r="I236" s="34" t="s">
        <v>155</v>
      </c>
      <c r="J236" s="35">
        <f>+J234-J232</f>
        <v>19622500</v>
      </c>
      <c r="M236" s="9"/>
    </row>
    <row r="237" spans="1:14" x14ac:dyDescent="0.25">
      <c r="B237" t="s">
        <v>101</v>
      </c>
      <c r="C237">
        <v>15</v>
      </c>
      <c r="D237" t="s">
        <v>69</v>
      </c>
      <c r="E237" s="9">
        <v>23000</v>
      </c>
      <c r="F237" s="9">
        <f t="shared" si="6"/>
        <v>345000</v>
      </c>
    </row>
    <row r="238" spans="1:14" x14ac:dyDescent="0.25">
      <c r="B238" t="s">
        <v>105</v>
      </c>
      <c r="C238">
        <v>10</v>
      </c>
      <c r="D238" t="s">
        <v>69</v>
      </c>
      <c r="E238" s="9">
        <v>24000</v>
      </c>
      <c r="F238" s="9">
        <f t="shared" si="6"/>
        <v>240000</v>
      </c>
    </row>
    <row r="239" spans="1:14" x14ac:dyDescent="0.25">
      <c r="B239" t="s">
        <v>42</v>
      </c>
      <c r="C239">
        <v>30</v>
      </c>
      <c r="D239" t="s">
        <v>69</v>
      </c>
      <c r="E239" s="9">
        <v>23000</v>
      </c>
      <c r="F239" s="9">
        <f t="shared" si="6"/>
        <v>690000</v>
      </c>
    </row>
    <row r="240" spans="1:14" x14ac:dyDescent="0.25">
      <c r="B240" t="s">
        <v>88</v>
      </c>
      <c r="C240">
        <v>4</v>
      </c>
      <c r="D240" t="s">
        <v>69</v>
      </c>
      <c r="E240" s="9">
        <v>24000</v>
      </c>
      <c r="F240" s="9">
        <f t="shared" si="6"/>
        <v>96000</v>
      </c>
    </row>
    <row r="241" spans="1:6" x14ac:dyDescent="0.25">
      <c r="B241" t="s">
        <v>73</v>
      </c>
      <c r="C241">
        <v>10</v>
      </c>
      <c r="D241" t="s">
        <v>72</v>
      </c>
      <c r="E241" s="9">
        <v>20000</v>
      </c>
      <c r="F241" s="9">
        <f t="shared" si="6"/>
        <v>200000</v>
      </c>
    </row>
    <row r="242" spans="1:6" x14ac:dyDescent="0.25">
      <c r="A242" s="8">
        <v>45052</v>
      </c>
      <c r="B242" t="s">
        <v>39</v>
      </c>
      <c r="C242">
        <v>37</v>
      </c>
      <c r="D242" t="s">
        <v>72</v>
      </c>
      <c r="E242" s="9">
        <v>22000</v>
      </c>
      <c r="F242" s="9">
        <f t="shared" si="6"/>
        <v>814000</v>
      </c>
    </row>
    <row r="243" spans="1:6" x14ac:dyDescent="0.25">
      <c r="B243" t="s">
        <v>85</v>
      </c>
      <c r="C243">
        <v>10</v>
      </c>
      <c r="D243" t="s">
        <v>69</v>
      </c>
      <c r="E243" s="9">
        <v>25000</v>
      </c>
      <c r="F243" s="9">
        <f t="shared" si="6"/>
        <v>250000</v>
      </c>
    </row>
    <row r="244" spans="1:6" x14ac:dyDescent="0.25">
      <c r="A244" s="8">
        <v>45053</v>
      </c>
      <c r="B244" t="s">
        <v>83</v>
      </c>
      <c r="C244">
        <v>75</v>
      </c>
      <c r="D244" t="s">
        <v>69</v>
      </c>
      <c r="E244" s="9">
        <v>23000</v>
      </c>
      <c r="F244" s="9">
        <f t="shared" si="6"/>
        <v>1725000</v>
      </c>
    </row>
    <row r="245" spans="1:6" x14ac:dyDescent="0.25">
      <c r="A245" s="8">
        <v>45054</v>
      </c>
      <c r="B245" t="s">
        <v>82</v>
      </c>
      <c r="C245">
        <v>40</v>
      </c>
      <c r="D245" t="s">
        <v>72</v>
      </c>
      <c r="E245" s="9">
        <v>23000</v>
      </c>
      <c r="F245" s="9">
        <f t="shared" si="6"/>
        <v>920000</v>
      </c>
    </row>
    <row r="246" spans="1:6" x14ac:dyDescent="0.25">
      <c r="B246" t="s">
        <v>42</v>
      </c>
      <c r="C246">
        <v>18</v>
      </c>
      <c r="D246" t="s">
        <v>69</v>
      </c>
      <c r="E246" s="9">
        <v>23000</v>
      </c>
      <c r="F246" s="9">
        <f t="shared" si="6"/>
        <v>414000</v>
      </c>
    </row>
    <row r="247" spans="1:6" x14ac:dyDescent="0.25">
      <c r="B247" t="s">
        <v>73</v>
      </c>
      <c r="C247">
        <v>2</v>
      </c>
      <c r="D247" t="s">
        <v>71</v>
      </c>
      <c r="E247" s="9">
        <v>20000</v>
      </c>
      <c r="F247" s="9">
        <f t="shared" si="6"/>
        <v>40000</v>
      </c>
    </row>
    <row r="248" spans="1:6" x14ac:dyDescent="0.25">
      <c r="A248" s="8">
        <v>45055</v>
      </c>
      <c r="B248" t="s">
        <v>83</v>
      </c>
      <c r="C248">
        <v>58</v>
      </c>
      <c r="D248" t="s">
        <v>69</v>
      </c>
      <c r="E248" s="9">
        <v>23000</v>
      </c>
      <c r="F248" s="9">
        <f t="shared" si="6"/>
        <v>1334000</v>
      </c>
    </row>
    <row r="249" spans="1:6" x14ac:dyDescent="0.25">
      <c r="B249" t="s">
        <v>87</v>
      </c>
      <c r="C249">
        <v>5</v>
      </c>
      <c r="D249" t="s">
        <v>72</v>
      </c>
      <c r="E249" s="9">
        <v>24000</v>
      </c>
      <c r="F249" s="9">
        <f t="shared" si="6"/>
        <v>120000</v>
      </c>
    </row>
    <row r="250" spans="1:6" x14ac:dyDescent="0.25">
      <c r="B250" t="s">
        <v>74</v>
      </c>
      <c r="C250">
        <v>3</v>
      </c>
      <c r="D250" t="s">
        <v>96</v>
      </c>
      <c r="E250" s="9">
        <v>25000</v>
      </c>
      <c r="F250" s="9">
        <f t="shared" si="6"/>
        <v>75000</v>
      </c>
    </row>
    <row r="251" spans="1:6" x14ac:dyDescent="0.25">
      <c r="B251" t="s">
        <v>45</v>
      </c>
      <c r="C251">
        <v>1</v>
      </c>
      <c r="D251" t="s">
        <v>69</v>
      </c>
      <c r="E251" s="9">
        <v>25000</v>
      </c>
      <c r="F251" s="9">
        <f t="shared" si="6"/>
        <v>25000</v>
      </c>
    </row>
    <row r="252" spans="1:6" x14ac:dyDescent="0.25">
      <c r="A252" s="8">
        <v>45056</v>
      </c>
      <c r="B252" t="s">
        <v>98</v>
      </c>
      <c r="C252">
        <v>10</v>
      </c>
      <c r="D252" t="s">
        <v>72</v>
      </c>
      <c r="E252" s="9">
        <v>24000</v>
      </c>
      <c r="F252" s="9">
        <f t="shared" si="6"/>
        <v>240000</v>
      </c>
    </row>
    <row r="253" spans="1:6" x14ac:dyDescent="0.25">
      <c r="B253" t="s">
        <v>42</v>
      </c>
      <c r="C253">
        <v>35</v>
      </c>
      <c r="D253" t="s">
        <v>69</v>
      </c>
      <c r="E253" s="9">
        <v>23000</v>
      </c>
      <c r="F253" s="9">
        <f t="shared" si="6"/>
        <v>805000</v>
      </c>
    </row>
    <row r="254" spans="1:6" x14ac:dyDescent="0.25">
      <c r="B254" t="s">
        <v>73</v>
      </c>
      <c r="C254">
        <v>5</v>
      </c>
      <c r="D254" t="s">
        <v>72</v>
      </c>
      <c r="E254" s="9">
        <v>22000</v>
      </c>
      <c r="F254" s="9">
        <f t="shared" si="6"/>
        <v>110000</v>
      </c>
    </row>
    <row r="255" spans="1:6" x14ac:dyDescent="0.25">
      <c r="A255" s="8">
        <v>45057</v>
      </c>
      <c r="B255" t="s">
        <v>45</v>
      </c>
      <c r="C255">
        <v>2</v>
      </c>
      <c r="D255" t="s">
        <v>69</v>
      </c>
      <c r="E255" s="9">
        <v>25000</v>
      </c>
      <c r="F255" s="9">
        <f t="shared" si="6"/>
        <v>50000</v>
      </c>
    </row>
    <row r="256" spans="1:6" x14ac:dyDescent="0.25">
      <c r="B256" t="s">
        <v>83</v>
      </c>
      <c r="C256">
        <v>68</v>
      </c>
      <c r="D256" t="s">
        <v>69</v>
      </c>
      <c r="E256" s="9">
        <v>23000</v>
      </c>
      <c r="F256" s="9">
        <f t="shared" si="6"/>
        <v>1564000</v>
      </c>
    </row>
    <row r="257" spans="1:6" x14ac:dyDescent="0.25">
      <c r="A257" s="8">
        <v>45058</v>
      </c>
      <c r="B257" t="s">
        <v>42</v>
      </c>
      <c r="C257">
        <v>20</v>
      </c>
      <c r="D257" t="s">
        <v>69</v>
      </c>
      <c r="E257" s="9">
        <v>23000</v>
      </c>
      <c r="F257" s="9">
        <f t="shared" si="6"/>
        <v>460000</v>
      </c>
    </row>
    <row r="258" spans="1:6" x14ac:dyDescent="0.25">
      <c r="B258" t="s">
        <v>88</v>
      </c>
      <c r="C258">
        <v>5</v>
      </c>
      <c r="D258" t="s">
        <v>72</v>
      </c>
      <c r="E258" s="9">
        <v>24000</v>
      </c>
      <c r="F258" s="9">
        <f t="shared" si="6"/>
        <v>120000</v>
      </c>
    </row>
    <row r="259" spans="1:6" x14ac:dyDescent="0.25">
      <c r="B259" t="s">
        <v>52</v>
      </c>
      <c r="C259">
        <v>15</v>
      </c>
      <c r="D259" t="s">
        <v>72</v>
      </c>
      <c r="E259" s="9">
        <v>23000</v>
      </c>
      <c r="F259" s="9">
        <f t="shared" si="6"/>
        <v>345000</v>
      </c>
    </row>
    <row r="260" spans="1:6" x14ac:dyDescent="0.25">
      <c r="B260" t="s">
        <v>73</v>
      </c>
      <c r="C260">
        <v>5</v>
      </c>
      <c r="D260" t="s">
        <v>72</v>
      </c>
      <c r="E260" s="9">
        <v>22000</v>
      </c>
      <c r="F260" s="9">
        <f t="shared" si="6"/>
        <v>110000</v>
      </c>
    </row>
    <row r="261" spans="1:6" x14ac:dyDescent="0.25">
      <c r="A261" s="8">
        <v>45059</v>
      </c>
      <c r="B261" t="s">
        <v>89</v>
      </c>
      <c r="C261">
        <v>10</v>
      </c>
      <c r="D261" t="s">
        <v>69</v>
      </c>
      <c r="E261" s="9">
        <v>24000</v>
      </c>
      <c r="F261" s="9">
        <f t="shared" si="6"/>
        <v>240000</v>
      </c>
    </row>
    <row r="262" spans="1:6" x14ac:dyDescent="0.25">
      <c r="B262" t="s">
        <v>45</v>
      </c>
      <c r="C262">
        <v>2</v>
      </c>
      <c r="D262" t="s">
        <v>69</v>
      </c>
      <c r="E262" s="9">
        <v>25000</v>
      </c>
      <c r="F262" s="9">
        <f t="shared" si="6"/>
        <v>50000</v>
      </c>
    </row>
    <row r="263" spans="1:6" x14ac:dyDescent="0.25">
      <c r="B263" t="s">
        <v>39</v>
      </c>
      <c r="C263">
        <v>30</v>
      </c>
      <c r="D263" t="s">
        <v>72</v>
      </c>
      <c r="E263" s="9">
        <v>22000</v>
      </c>
      <c r="F263" s="9">
        <f t="shared" si="6"/>
        <v>660000</v>
      </c>
    </row>
    <row r="264" spans="1:6" x14ac:dyDescent="0.25">
      <c r="A264" s="8">
        <v>45060</v>
      </c>
      <c r="B264" t="s">
        <v>106</v>
      </c>
      <c r="C264">
        <v>5</v>
      </c>
      <c r="D264" t="s">
        <v>69</v>
      </c>
      <c r="E264" s="9">
        <v>25000</v>
      </c>
      <c r="F264" s="9">
        <f t="shared" si="6"/>
        <v>125000</v>
      </c>
    </row>
    <row r="265" spans="1:6" x14ac:dyDescent="0.25">
      <c r="B265" t="s">
        <v>45</v>
      </c>
      <c r="C265">
        <v>5</v>
      </c>
      <c r="D265" t="s">
        <v>69</v>
      </c>
      <c r="E265" s="9">
        <v>25000</v>
      </c>
      <c r="F265" s="9">
        <f t="shared" si="6"/>
        <v>125000</v>
      </c>
    </row>
    <row r="266" spans="1:6" x14ac:dyDescent="0.25">
      <c r="A266" s="8">
        <v>45061</v>
      </c>
      <c r="B266" t="s">
        <v>83</v>
      </c>
      <c r="C266">
        <v>121</v>
      </c>
      <c r="D266" t="s">
        <v>69</v>
      </c>
      <c r="E266" s="9">
        <v>23000</v>
      </c>
      <c r="F266" s="9">
        <f t="shared" si="6"/>
        <v>2783000</v>
      </c>
    </row>
    <row r="267" spans="1:6" x14ac:dyDescent="0.25">
      <c r="A267" s="8">
        <v>45062</v>
      </c>
      <c r="B267" t="s">
        <v>87</v>
      </c>
      <c r="C267">
        <v>6</v>
      </c>
      <c r="D267" t="s">
        <v>72</v>
      </c>
      <c r="E267" s="9">
        <v>24000</v>
      </c>
      <c r="F267" s="9">
        <f t="shared" si="6"/>
        <v>144000</v>
      </c>
    </row>
    <row r="268" spans="1:6" x14ac:dyDescent="0.25">
      <c r="B268" t="s">
        <v>58</v>
      </c>
      <c r="C268">
        <v>5</v>
      </c>
      <c r="D268" t="s">
        <v>69</v>
      </c>
      <c r="E268" s="9">
        <v>25000</v>
      </c>
      <c r="F268" s="9">
        <f t="shared" si="6"/>
        <v>125000</v>
      </c>
    </row>
    <row r="269" spans="1:6" x14ac:dyDescent="0.25">
      <c r="B269" t="s">
        <v>86</v>
      </c>
      <c r="C269">
        <v>4</v>
      </c>
      <c r="D269" t="s">
        <v>69</v>
      </c>
      <c r="E269" s="9">
        <v>25000</v>
      </c>
      <c r="F269" s="9">
        <f t="shared" si="6"/>
        <v>100000</v>
      </c>
    </row>
    <row r="270" spans="1:6" x14ac:dyDescent="0.25">
      <c r="B270" t="s">
        <v>42</v>
      </c>
      <c r="C270">
        <v>30</v>
      </c>
      <c r="D270" t="s">
        <v>69</v>
      </c>
      <c r="E270" s="9">
        <v>23000</v>
      </c>
      <c r="F270" s="9">
        <f t="shared" si="6"/>
        <v>690000</v>
      </c>
    </row>
    <row r="271" spans="1:6" x14ac:dyDescent="0.25">
      <c r="B271" t="s">
        <v>83</v>
      </c>
      <c r="C271">
        <v>44</v>
      </c>
      <c r="D271" t="s">
        <v>72</v>
      </c>
      <c r="E271" s="9">
        <v>23000</v>
      </c>
      <c r="F271" s="9">
        <f t="shared" si="6"/>
        <v>1012000</v>
      </c>
    </row>
    <row r="272" spans="1:6" x14ac:dyDescent="0.25">
      <c r="A272" s="8">
        <v>45063</v>
      </c>
      <c r="B272" t="s">
        <v>39</v>
      </c>
      <c r="C272">
        <v>30</v>
      </c>
      <c r="D272" t="s">
        <v>69</v>
      </c>
      <c r="E272" s="9">
        <v>22500</v>
      </c>
      <c r="F272" s="9">
        <f t="shared" si="6"/>
        <v>675000</v>
      </c>
    </row>
    <row r="273" spans="1:6" x14ac:dyDescent="0.25">
      <c r="A273" s="8">
        <v>45064</v>
      </c>
      <c r="B273" t="s">
        <v>89</v>
      </c>
      <c r="C273">
        <v>10</v>
      </c>
      <c r="D273" t="s">
        <v>72</v>
      </c>
      <c r="E273" s="9">
        <v>24000</v>
      </c>
      <c r="F273" s="9">
        <f t="shared" si="6"/>
        <v>240000</v>
      </c>
    </row>
    <row r="274" spans="1:6" x14ac:dyDescent="0.25">
      <c r="B274" t="s">
        <v>45</v>
      </c>
      <c r="C274">
        <v>3</v>
      </c>
      <c r="D274" t="s">
        <v>69</v>
      </c>
      <c r="E274" s="9">
        <v>25000</v>
      </c>
      <c r="F274" s="9">
        <f t="shared" si="6"/>
        <v>75000</v>
      </c>
    </row>
    <row r="275" spans="1:6" x14ac:dyDescent="0.25">
      <c r="B275" t="s">
        <v>52</v>
      </c>
      <c r="C275">
        <v>15</v>
      </c>
      <c r="D275" t="s">
        <v>72</v>
      </c>
      <c r="E275" s="9">
        <v>23000</v>
      </c>
      <c r="F275" s="9">
        <f t="shared" si="6"/>
        <v>345000</v>
      </c>
    </row>
    <row r="276" spans="1:6" x14ac:dyDescent="0.25">
      <c r="B276" t="s">
        <v>42</v>
      </c>
      <c r="C276">
        <v>25</v>
      </c>
      <c r="D276" t="s">
        <v>72</v>
      </c>
      <c r="E276" s="9">
        <v>23000</v>
      </c>
      <c r="F276" s="9">
        <f t="shared" si="6"/>
        <v>575000</v>
      </c>
    </row>
    <row r="277" spans="1:6" x14ac:dyDescent="0.25">
      <c r="B277" t="s">
        <v>73</v>
      </c>
      <c r="C277">
        <v>5</v>
      </c>
      <c r="D277" t="s">
        <v>71</v>
      </c>
      <c r="E277" s="9">
        <v>20000</v>
      </c>
      <c r="F277" s="9">
        <f t="shared" si="6"/>
        <v>100000</v>
      </c>
    </row>
    <row r="278" spans="1:6" x14ac:dyDescent="0.25">
      <c r="B278" t="s">
        <v>82</v>
      </c>
      <c r="C278">
        <v>26</v>
      </c>
      <c r="D278" t="s">
        <v>72</v>
      </c>
      <c r="E278" s="9">
        <v>23000</v>
      </c>
      <c r="F278" s="9">
        <f t="shared" si="6"/>
        <v>598000</v>
      </c>
    </row>
    <row r="279" spans="1:6" x14ac:dyDescent="0.25">
      <c r="B279" t="s">
        <v>45</v>
      </c>
      <c r="C279">
        <v>5</v>
      </c>
      <c r="D279" t="s">
        <v>69</v>
      </c>
      <c r="E279" s="9">
        <v>25000</v>
      </c>
      <c r="F279" s="9">
        <f t="shared" si="6"/>
        <v>125000</v>
      </c>
    </row>
    <row r="280" spans="1:6" x14ac:dyDescent="0.25">
      <c r="B280" t="s">
        <v>107</v>
      </c>
      <c r="C280">
        <v>3</v>
      </c>
      <c r="D280" t="s">
        <v>69</v>
      </c>
      <c r="E280" s="9">
        <v>25000</v>
      </c>
      <c r="F280" s="9">
        <f t="shared" si="6"/>
        <v>75000</v>
      </c>
    </row>
    <row r="281" spans="1:6" x14ac:dyDescent="0.25">
      <c r="A281" s="8">
        <v>45065</v>
      </c>
      <c r="B281" t="s">
        <v>98</v>
      </c>
      <c r="C281">
        <v>20</v>
      </c>
      <c r="D281" t="s">
        <v>72</v>
      </c>
      <c r="E281" s="9">
        <v>24000</v>
      </c>
      <c r="F281" s="9">
        <f t="shared" si="6"/>
        <v>480000</v>
      </c>
    </row>
    <row r="282" spans="1:6" x14ac:dyDescent="0.25">
      <c r="B282" t="s">
        <v>42</v>
      </c>
      <c r="C282">
        <v>10</v>
      </c>
      <c r="D282" t="s">
        <v>69</v>
      </c>
      <c r="E282" s="9">
        <v>23000</v>
      </c>
      <c r="F282" s="9">
        <f t="shared" si="6"/>
        <v>230000</v>
      </c>
    </row>
    <row r="283" spans="1:6" x14ac:dyDescent="0.25">
      <c r="B283" t="s">
        <v>82</v>
      </c>
      <c r="C283">
        <v>23</v>
      </c>
      <c r="D283" t="s">
        <v>72</v>
      </c>
      <c r="E283" s="9">
        <v>23000</v>
      </c>
      <c r="F283" s="9">
        <f t="shared" si="6"/>
        <v>529000</v>
      </c>
    </row>
    <row r="284" spans="1:6" x14ac:dyDescent="0.25">
      <c r="B284" t="s">
        <v>58</v>
      </c>
      <c r="C284">
        <v>5</v>
      </c>
      <c r="D284" t="s">
        <v>69</v>
      </c>
      <c r="E284" s="9">
        <v>25000</v>
      </c>
      <c r="F284" s="9">
        <f t="shared" si="6"/>
        <v>125000</v>
      </c>
    </row>
    <row r="285" spans="1:6" x14ac:dyDescent="0.25">
      <c r="A285" s="8">
        <v>45066</v>
      </c>
      <c r="C285">
        <v>25</v>
      </c>
      <c r="D285" t="s">
        <v>72</v>
      </c>
      <c r="E285" s="9">
        <v>22000</v>
      </c>
      <c r="F285" s="9">
        <f t="shared" si="6"/>
        <v>550000</v>
      </c>
    </row>
    <row r="286" spans="1:6" x14ac:dyDescent="0.25">
      <c r="A286" s="8">
        <v>45068</v>
      </c>
      <c r="B286" t="s">
        <v>39</v>
      </c>
      <c r="C286">
        <v>30</v>
      </c>
      <c r="D286" t="s">
        <v>72</v>
      </c>
      <c r="E286" s="9">
        <v>22000</v>
      </c>
      <c r="F286" s="9">
        <f t="shared" si="6"/>
        <v>660000</v>
      </c>
    </row>
    <row r="287" spans="1:6" x14ac:dyDescent="0.25">
      <c r="A287" s="8">
        <v>45068</v>
      </c>
      <c r="B287" t="s">
        <v>83</v>
      </c>
      <c r="C287">
        <v>125</v>
      </c>
      <c r="D287" t="s">
        <v>69</v>
      </c>
      <c r="E287" s="9">
        <v>23000</v>
      </c>
      <c r="F287" s="9">
        <f t="shared" si="6"/>
        <v>2875000</v>
      </c>
    </row>
    <row r="288" spans="1:6" x14ac:dyDescent="0.25">
      <c r="B288" t="s">
        <v>73</v>
      </c>
      <c r="C288">
        <v>5</v>
      </c>
      <c r="D288" t="s">
        <v>71</v>
      </c>
      <c r="E288" s="9">
        <v>22000</v>
      </c>
      <c r="F288" s="9">
        <f t="shared" si="6"/>
        <v>110000</v>
      </c>
    </row>
    <row r="289" spans="1:6" x14ac:dyDescent="0.25">
      <c r="A289" s="8">
        <v>45069</v>
      </c>
      <c r="B289" t="s">
        <v>45</v>
      </c>
      <c r="C289">
        <v>5</v>
      </c>
      <c r="D289" t="s">
        <v>69</v>
      </c>
      <c r="E289" s="9">
        <v>25000</v>
      </c>
      <c r="F289" s="9">
        <f t="shared" si="6"/>
        <v>125000</v>
      </c>
    </row>
    <row r="290" spans="1:6" x14ac:dyDescent="0.25">
      <c r="B290" t="s">
        <v>85</v>
      </c>
      <c r="C290">
        <v>5</v>
      </c>
      <c r="D290" t="s">
        <v>69</v>
      </c>
      <c r="E290" s="9">
        <v>24000</v>
      </c>
      <c r="F290" s="9">
        <f t="shared" ref="F290:F353" si="7">+E290*C290</f>
        <v>120000</v>
      </c>
    </row>
    <row r="291" spans="1:6" x14ac:dyDescent="0.25">
      <c r="B291" t="s">
        <v>80</v>
      </c>
      <c r="C291">
        <v>15</v>
      </c>
      <c r="D291" t="s">
        <v>72</v>
      </c>
      <c r="E291" s="9">
        <v>24000</v>
      </c>
      <c r="F291" s="9">
        <f t="shared" si="7"/>
        <v>360000</v>
      </c>
    </row>
    <row r="292" spans="1:6" x14ac:dyDescent="0.25">
      <c r="B292" t="s">
        <v>42</v>
      </c>
      <c r="C292">
        <v>30</v>
      </c>
      <c r="D292" t="s">
        <v>69</v>
      </c>
      <c r="E292" s="9">
        <v>23000</v>
      </c>
      <c r="F292" s="9">
        <f t="shared" si="7"/>
        <v>690000</v>
      </c>
    </row>
    <row r="293" spans="1:6" x14ac:dyDescent="0.25">
      <c r="B293" t="s">
        <v>45</v>
      </c>
      <c r="C293">
        <v>4</v>
      </c>
      <c r="D293" t="s">
        <v>69</v>
      </c>
      <c r="E293" s="9">
        <v>25000</v>
      </c>
      <c r="F293" s="9">
        <f t="shared" si="7"/>
        <v>100000</v>
      </c>
    </row>
    <row r="294" spans="1:6" x14ac:dyDescent="0.25">
      <c r="B294" t="s">
        <v>74</v>
      </c>
      <c r="C294">
        <v>5</v>
      </c>
      <c r="D294" t="s">
        <v>69</v>
      </c>
      <c r="E294" s="9">
        <v>25000</v>
      </c>
      <c r="F294" s="9">
        <f t="shared" si="7"/>
        <v>125000</v>
      </c>
    </row>
    <row r="295" spans="1:6" x14ac:dyDescent="0.25">
      <c r="A295" s="8">
        <v>45071</v>
      </c>
      <c r="B295" t="s">
        <v>82</v>
      </c>
      <c r="C295">
        <v>96</v>
      </c>
      <c r="D295" t="s">
        <v>69</v>
      </c>
      <c r="E295" s="9">
        <v>23000</v>
      </c>
      <c r="F295" s="9">
        <f t="shared" si="7"/>
        <v>2208000</v>
      </c>
    </row>
    <row r="296" spans="1:6" x14ac:dyDescent="0.25">
      <c r="B296" t="s">
        <v>52</v>
      </c>
      <c r="C296">
        <v>20</v>
      </c>
      <c r="D296" t="s">
        <v>72</v>
      </c>
      <c r="E296" s="9">
        <v>23000</v>
      </c>
      <c r="F296" s="9">
        <f t="shared" si="7"/>
        <v>460000</v>
      </c>
    </row>
    <row r="297" spans="1:6" x14ac:dyDescent="0.25">
      <c r="A297" s="8">
        <v>45072</v>
      </c>
      <c r="B297" t="s">
        <v>89</v>
      </c>
      <c r="C297">
        <v>10</v>
      </c>
      <c r="D297" t="s">
        <v>69</v>
      </c>
      <c r="E297" s="9">
        <v>24000</v>
      </c>
      <c r="F297" s="9">
        <f t="shared" si="7"/>
        <v>240000</v>
      </c>
    </row>
    <row r="298" spans="1:6" x14ac:dyDescent="0.25">
      <c r="B298" t="s">
        <v>108</v>
      </c>
      <c r="C298">
        <v>2</v>
      </c>
      <c r="D298" t="s">
        <v>69</v>
      </c>
      <c r="E298" s="9">
        <v>25000</v>
      </c>
      <c r="F298" s="9">
        <f t="shared" si="7"/>
        <v>50000</v>
      </c>
    </row>
    <row r="299" spans="1:6" x14ac:dyDescent="0.25">
      <c r="B299" t="s">
        <v>45</v>
      </c>
      <c r="C299">
        <v>1</v>
      </c>
      <c r="D299" t="s">
        <v>72</v>
      </c>
      <c r="E299" s="9">
        <v>25000</v>
      </c>
      <c r="F299" s="9">
        <f t="shared" si="7"/>
        <v>25000</v>
      </c>
    </row>
    <row r="300" spans="1:6" x14ac:dyDescent="0.25">
      <c r="A300" s="8">
        <v>45073</v>
      </c>
      <c r="B300" t="s">
        <v>39</v>
      </c>
      <c r="C300">
        <v>32</v>
      </c>
      <c r="D300" t="s">
        <v>72</v>
      </c>
      <c r="E300" s="9">
        <v>22000</v>
      </c>
      <c r="F300" s="9">
        <f t="shared" si="7"/>
        <v>704000</v>
      </c>
    </row>
    <row r="301" spans="1:6" x14ac:dyDescent="0.25">
      <c r="B301" t="s">
        <v>45</v>
      </c>
      <c r="C301">
        <v>2</v>
      </c>
      <c r="D301" t="s">
        <v>69</v>
      </c>
      <c r="E301" s="9">
        <v>25000</v>
      </c>
      <c r="F301" s="9">
        <f t="shared" si="7"/>
        <v>50000</v>
      </c>
    </row>
    <row r="302" spans="1:6" x14ac:dyDescent="0.25">
      <c r="B302" t="s">
        <v>85</v>
      </c>
      <c r="C302">
        <v>5</v>
      </c>
      <c r="D302" t="s">
        <v>69</v>
      </c>
      <c r="E302" s="9">
        <v>24000</v>
      </c>
      <c r="F302" s="9">
        <f t="shared" si="7"/>
        <v>120000</v>
      </c>
    </row>
    <row r="303" spans="1:6" x14ac:dyDescent="0.25">
      <c r="A303" s="8">
        <v>45075</v>
      </c>
      <c r="B303" t="s">
        <v>51</v>
      </c>
      <c r="C303">
        <v>15</v>
      </c>
      <c r="D303" t="s">
        <v>69</v>
      </c>
      <c r="E303" s="9">
        <v>24000</v>
      </c>
      <c r="F303" s="9">
        <f t="shared" si="7"/>
        <v>360000</v>
      </c>
    </row>
    <row r="304" spans="1:6" x14ac:dyDescent="0.25">
      <c r="B304" t="s">
        <v>52</v>
      </c>
      <c r="C304">
        <v>15</v>
      </c>
      <c r="D304" t="s">
        <v>69</v>
      </c>
      <c r="E304" s="9">
        <v>24000</v>
      </c>
      <c r="F304" s="9">
        <f t="shared" si="7"/>
        <v>360000</v>
      </c>
    </row>
    <row r="305" spans="1:14" x14ac:dyDescent="0.25">
      <c r="B305" t="s">
        <v>83</v>
      </c>
      <c r="C305">
        <v>101</v>
      </c>
      <c r="D305" t="s">
        <v>72</v>
      </c>
      <c r="E305" s="9">
        <v>23000</v>
      </c>
      <c r="F305" s="9">
        <f t="shared" si="7"/>
        <v>2323000</v>
      </c>
    </row>
    <row r="306" spans="1:14" x14ac:dyDescent="0.25">
      <c r="B306" t="s">
        <v>86</v>
      </c>
      <c r="C306">
        <v>4</v>
      </c>
      <c r="D306" t="s">
        <v>69</v>
      </c>
      <c r="E306" s="9">
        <v>25000</v>
      </c>
      <c r="F306" s="9">
        <f t="shared" si="7"/>
        <v>100000</v>
      </c>
    </row>
    <row r="307" spans="1:14" x14ac:dyDescent="0.25">
      <c r="A307" s="8">
        <v>45076</v>
      </c>
      <c r="B307" t="s">
        <v>39</v>
      </c>
      <c r="C307">
        <v>31</v>
      </c>
      <c r="D307" t="s">
        <v>72</v>
      </c>
      <c r="E307" s="9">
        <v>22000</v>
      </c>
      <c r="F307" s="9">
        <f t="shared" si="7"/>
        <v>682000</v>
      </c>
    </row>
    <row r="308" spans="1:14" x14ac:dyDescent="0.25">
      <c r="A308" s="8">
        <v>45077</v>
      </c>
      <c r="B308" t="s">
        <v>51</v>
      </c>
      <c r="C308">
        <v>15</v>
      </c>
      <c r="D308" t="s">
        <v>69</v>
      </c>
      <c r="E308" s="9">
        <v>24000</v>
      </c>
      <c r="F308" s="9">
        <f t="shared" si="7"/>
        <v>360000</v>
      </c>
    </row>
    <row r="309" spans="1:14" x14ac:dyDescent="0.25">
      <c r="B309" t="s">
        <v>83</v>
      </c>
      <c r="C309">
        <v>47</v>
      </c>
      <c r="D309" t="s">
        <v>72</v>
      </c>
      <c r="E309" s="9">
        <v>23000</v>
      </c>
      <c r="F309" s="9">
        <f t="shared" si="7"/>
        <v>1081000</v>
      </c>
    </row>
    <row r="310" spans="1:14" x14ac:dyDescent="0.25">
      <c r="B310" t="s">
        <v>45</v>
      </c>
      <c r="C310">
        <v>1</v>
      </c>
      <c r="D310" t="s">
        <v>71</v>
      </c>
      <c r="E310" s="9">
        <v>24000</v>
      </c>
      <c r="F310" s="9">
        <f t="shared" si="7"/>
        <v>24000</v>
      </c>
    </row>
    <row r="311" spans="1:14" x14ac:dyDescent="0.25">
      <c r="B311" t="s">
        <v>45</v>
      </c>
      <c r="C311">
        <v>4</v>
      </c>
      <c r="D311" t="s">
        <v>72</v>
      </c>
      <c r="E311" s="9">
        <v>25000</v>
      </c>
      <c r="F311" s="9">
        <f t="shared" si="7"/>
        <v>100000</v>
      </c>
    </row>
    <row r="312" spans="1:14" s="30" customFormat="1" x14ac:dyDescent="0.25">
      <c r="A312" s="29">
        <v>45078</v>
      </c>
      <c r="B312" s="30" t="s">
        <v>98</v>
      </c>
      <c r="C312" s="30">
        <v>8</v>
      </c>
      <c r="D312" s="30" t="s">
        <v>69</v>
      </c>
      <c r="E312" s="31">
        <v>24000</v>
      </c>
      <c r="F312" s="31">
        <f t="shared" si="7"/>
        <v>192000</v>
      </c>
      <c r="G312" s="31">
        <f>+SUM(F312:F393)/SUM(C312:C393)</f>
        <v>23147.12918660287</v>
      </c>
      <c r="I312" s="36" t="s">
        <v>139</v>
      </c>
      <c r="J312" s="31">
        <v>29</v>
      </c>
      <c r="M312" s="31"/>
    </row>
    <row r="313" spans="1:14" x14ac:dyDescent="0.25">
      <c r="B313" t="s">
        <v>42</v>
      </c>
      <c r="C313">
        <v>27</v>
      </c>
      <c r="D313" t="s">
        <v>69</v>
      </c>
      <c r="E313" s="9">
        <v>23000</v>
      </c>
      <c r="F313" s="9">
        <f t="shared" si="7"/>
        <v>621000</v>
      </c>
      <c r="M313" s="9"/>
    </row>
    <row r="314" spans="1:14" x14ac:dyDescent="0.25">
      <c r="A314" s="29">
        <v>45078</v>
      </c>
      <c r="B314" t="s">
        <v>39</v>
      </c>
      <c r="C314">
        <v>26</v>
      </c>
      <c r="D314" t="s">
        <v>72</v>
      </c>
      <c r="E314" s="9">
        <v>22000</v>
      </c>
      <c r="F314" s="9">
        <f t="shared" si="7"/>
        <v>572000</v>
      </c>
      <c r="I314" s="40" t="s">
        <v>144</v>
      </c>
      <c r="J314" s="40"/>
      <c r="L314" s="40" t="s">
        <v>141</v>
      </c>
      <c r="M314" s="40"/>
    </row>
    <row r="315" spans="1:14" x14ac:dyDescent="0.25">
      <c r="A315" s="8">
        <v>45079</v>
      </c>
      <c r="B315" t="s">
        <v>87</v>
      </c>
      <c r="C315">
        <v>6</v>
      </c>
      <c r="D315" t="s">
        <v>72</v>
      </c>
      <c r="E315" s="9">
        <v>24000</v>
      </c>
      <c r="F315" s="9">
        <f t="shared" si="7"/>
        <v>144000</v>
      </c>
      <c r="I315" t="s">
        <v>139</v>
      </c>
      <c r="J315" s="17">
        <f>60/100*9*M315*J312</f>
        <v>1174499.9999999998</v>
      </c>
      <c r="L315" t="s">
        <v>140</v>
      </c>
      <c r="M315" s="9">
        <v>7500</v>
      </c>
      <c r="N315" t="s">
        <v>146</v>
      </c>
    </row>
    <row r="316" spans="1:14" x14ac:dyDescent="0.25">
      <c r="B316" t="s">
        <v>89</v>
      </c>
      <c r="C316">
        <v>10</v>
      </c>
      <c r="D316" t="s">
        <v>69</v>
      </c>
      <c r="E316" s="9">
        <v>24000</v>
      </c>
      <c r="F316" s="9">
        <f t="shared" si="7"/>
        <v>240000</v>
      </c>
      <c r="I316" t="s">
        <v>48</v>
      </c>
      <c r="J316" s="9">
        <f>+SUM(C312:C393)*M316</f>
        <v>836000</v>
      </c>
      <c r="L316" t="s">
        <v>48</v>
      </c>
      <c r="M316" s="9">
        <v>500</v>
      </c>
      <c r="N316" t="s">
        <v>147</v>
      </c>
    </row>
    <row r="317" spans="1:14" x14ac:dyDescent="0.25">
      <c r="B317" t="s">
        <v>83</v>
      </c>
      <c r="C317">
        <v>45</v>
      </c>
      <c r="D317" t="s">
        <v>69</v>
      </c>
      <c r="E317" s="9">
        <v>23000</v>
      </c>
      <c r="F317" s="9">
        <f t="shared" si="7"/>
        <v>1035000</v>
      </c>
      <c r="I317" t="s">
        <v>142</v>
      </c>
      <c r="J317" s="9">
        <f>9.5*30*M317</f>
        <v>17955000</v>
      </c>
      <c r="L317" t="s">
        <v>142</v>
      </c>
      <c r="M317" s="9">
        <v>63000</v>
      </c>
      <c r="N317" t="s">
        <v>148</v>
      </c>
    </row>
    <row r="318" spans="1:14" x14ac:dyDescent="0.25">
      <c r="A318" s="8">
        <v>45080</v>
      </c>
      <c r="B318" t="s">
        <v>42</v>
      </c>
      <c r="C318">
        <v>30</v>
      </c>
      <c r="D318" t="s">
        <v>69</v>
      </c>
      <c r="E318" s="9">
        <v>23000</v>
      </c>
      <c r="F318" s="9">
        <f t="shared" si="7"/>
        <v>690000</v>
      </c>
      <c r="I318" t="s">
        <v>145</v>
      </c>
      <c r="J318" s="9">
        <f>+M318*30</f>
        <v>1800000</v>
      </c>
      <c r="L318" t="s">
        <v>143</v>
      </c>
      <c r="M318" s="9">
        <v>60000</v>
      </c>
      <c r="N318" t="s">
        <v>149</v>
      </c>
    </row>
    <row r="319" spans="1:14" x14ac:dyDescent="0.25">
      <c r="B319" t="s">
        <v>45</v>
      </c>
      <c r="C319">
        <v>4</v>
      </c>
      <c r="D319" t="s">
        <v>72</v>
      </c>
      <c r="E319" s="9">
        <v>25000</v>
      </c>
      <c r="F319" s="9">
        <f t="shared" si="7"/>
        <v>100000</v>
      </c>
      <c r="I319" t="s">
        <v>150</v>
      </c>
      <c r="J319" s="9">
        <v>15000</v>
      </c>
      <c r="K319" s="27"/>
      <c r="M319" s="9"/>
    </row>
    <row r="320" spans="1:14" x14ac:dyDescent="0.25">
      <c r="A320" s="8">
        <v>45080</v>
      </c>
      <c r="B320" t="s">
        <v>39</v>
      </c>
      <c r="C320">
        <v>30</v>
      </c>
      <c r="D320" t="s">
        <v>72</v>
      </c>
      <c r="E320" s="9">
        <v>22000</v>
      </c>
      <c r="F320" s="9">
        <f t="shared" si="7"/>
        <v>660000</v>
      </c>
      <c r="I320" t="s">
        <v>151</v>
      </c>
      <c r="J320" s="9">
        <v>150000</v>
      </c>
      <c r="M320" s="9"/>
    </row>
    <row r="321" spans="1:14" x14ac:dyDescent="0.25">
      <c r="A321" s="8">
        <v>45081</v>
      </c>
      <c r="B321" t="s">
        <v>83</v>
      </c>
      <c r="C321">
        <v>57</v>
      </c>
      <c r="D321" t="s">
        <v>69</v>
      </c>
      <c r="E321" s="9">
        <v>23000</v>
      </c>
      <c r="F321" s="9">
        <f t="shared" si="7"/>
        <v>1311000</v>
      </c>
      <c r="I321" t="s">
        <v>152</v>
      </c>
      <c r="J321" s="9">
        <f>+SUM(J315:J320)</f>
        <v>21930500</v>
      </c>
      <c r="N321" s="9"/>
    </row>
    <row r="322" spans="1:14" x14ac:dyDescent="0.25">
      <c r="A322" s="8">
        <v>45082</v>
      </c>
      <c r="B322" t="s">
        <v>52</v>
      </c>
      <c r="C322">
        <v>21</v>
      </c>
      <c r="D322" t="s">
        <v>72</v>
      </c>
      <c r="E322" s="9">
        <v>24000</v>
      </c>
      <c r="F322" s="9">
        <f t="shared" si="7"/>
        <v>504000</v>
      </c>
      <c r="M322" s="9"/>
    </row>
    <row r="323" spans="1:14" x14ac:dyDescent="0.25">
      <c r="B323" t="s">
        <v>45</v>
      </c>
      <c r="C323">
        <v>1</v>
      </c>
      <c r="D323" t="s">
        <v>72</v>
      </c>
      <c r="E323" s="9">
        <v>25000</v>
      </c>
      <c r="F323" s="9">
        <f t="shared" si="7"/>
        <v>25000</v>
      </c>
      <c r="I323" t="s">
        <v>153</v>
      </c>
      <c r="J323" s="9">
        <f>+SUM(F312:F393)</f>
        <v>38702000</v>
      </c>
      <c r="M323" s="9"/>
    </row>
    <row r="324" spans="1:14" ht="15.75" thickBot="1" x14ac:dyDescent="0.3">
      <c r="B324" t="s">
        <v>51</v>
      </c>
      <c r="C324">
        <v>25</v>
      </c>
      <c r="D324" t="s">
        <v>69</v>
      </c>
      <c r="E324" s="9">
        <v>24000</v>
      </c>
      <c r="F324" s="9">
        <f t="shared" si="7"/>
        <v>600000</v>
      </c>
      <c r="M324" s="9"/>
    </row>
    <row r="325" spans="1:14" ht="15.75" thickBot="1" x14ac:dyDescent="0.3">
      <c r="B325" t="s">
        <v>42</v>
      </c>
      <c r="C325">
        <v>10</v>
      </c>
      <c r="D325" t="s">
        <v>72</v>
      </c>
      <c r="E325" s="9">
        <v>23000</v>
      </c>
      <c r="F325" s="9">
        <f t="shared" si="7"/>
        <v>230000</v>
      </c>
      <c r="I325" s="34" t="s">
        <v>155</v>
      </c>
      <c r="J325" s="35">
        <f>+J323-J321</f>
        <v>16771500</v>
      </c>
      <c r="M325" s="9"/>
    </row>
    <row r="326" spans="1:14" x14ac:dyDescent="0.25">
      <c r="A326" s="8">
        <v>45083</v>
      </c>
      <c r="B326" t="s">
        <v>82</v>
      </c>
      <c r="C326">
        <v>62</v>
      </c>
      <c r="D326" t="s">
        <v>72</v>
      </c>
      <c r="E326" s="9">
        <v>23000</v>
      </c>
      <c r="F326" s="9">
        <f t="shared" si="7"/>
        <v>1426000</v>
      </c>
    </row>
    <row r="327" spans="1:14" x14ac:dyDescent="0.25">
      <c r="B327" t="s">
        <v>109</v>
      </c>
      <c r="C327">
        <v>2</v>
      </c>
      <c r="D327" t="s">
        <v>69</v>
      </c>
      <c r="E327" s="9">
        <v>25000</v>
      </c>
      <c r="F327" s="9">
        <f t="shared" si="7"/>
        <v>50000</v>
      </c>
    </row>
    <row r="328" spans="1:14" x14ac:dyDescent="0.25">
      <c r="A328" s="8">
        <v>45084</v>
      </c>
      <c r="B328" t="s">
        <v>88</v>
      </c>
      <c r="C328">
        <v>4</v>
      </c>
      <c r="D328" t="s">
        <v>69</v>
      </c>
      <c r="E328" s="9">
        <v>25000</v>
      </c>
      <c r="F328" s="9">
        <f t="shared" si="7"/>
        <v>100000</v>
      </c>
    </row>
    <row r="329" spans="1:14" x14ac:dyDescent="0.25">
      <c r="B329" t="s">
        <v>42</v>
      </c>
      <c r="C329">
        <v>35</v>
      </c>
      <c r="D329" t="s">
        <v>69</v>
      </c>
      <c r="E329" s="9">
        <v>23000</v>
      </c>
      <c r="F329" s="9">
        <f t="shared" si="7"/>
        <v>805000</v>
      </c>
    </row>
    <row r="330" spans="1:14" x14ac:dyDescent="0.25">
      <c r="B330" t="s">
        <v>98</v>
      </c>
      <c r="C330">
        <v>10</v>
      </c>
      <c r="D330" t="s">
        <v>72</v>
      </c>
      <c r="E330" s="9">
        <v>24000</v>
      </c>
      <c r="F330" s="9">
        <f t="shared" si="7"/>
        <v>240000</v>
      </c>
    </row>
    <row r="331" spans="1:14" x14ac:dyDescent="0.25">
      <c r="B331" t="s">
        <v>45</v>
      </c>
      <c r="C331">
        <v>2</v>
      </c>
      <c r="D331" t="s">
        <v>69</v>
      </c>
      <c r="E331" s="9">
        <v>25000</v>
      </c>
      <c r="F331" s="9">
        <f t="shared" si="7"/>
        <v>50000</v>
      </c>
    </row>
    <row r="332" spans="1:14" x14ac:dyDescent="0.25">
      <c r="B332" t="s">
        <v>109</v>
      </c>
      <c r="C332">
        <v>2</v>
      </c>
      <c r="D332" t="s">
        <v>96</v>
      </c>
      <c r="E332" s="9">
        <v>25000</v>
      </c>
      <c r="F332" s="9">
        <f t="shared" si="7"/>
        <v>50000</v>
      </c>
    </row>
    <row r="333" spans="1:14" x14ac:dyDescent="0.25">
      <c r="A333" s="8">
        <v>45085</v>
      </c>
      <c r="B333" t="s">
        <v>89</v>
      </c>
      <c r="C333">
        <v>10</v>
      </c>
      <c r="D333" t="s">
        <v>69</v>
      </c>
      <c r="E333" s="9">
        <v>24000</v>
      </c>
      <c r="F333" s="9">
        <f t="shared" si="7"/>
        <v>240000</v>
      </c>
    </row>
    <row r="334" spans="1:14" x14ac:dyDescent="0.25">
      <c r="B334" t="s">
        <v>87</v>
      </c>
      <c r="C334">
        <v>6</v>
      </c>
      <c r="D334" t="s">
        <v>72</v>
      </c>
      <c r="E334" s="9">
        <v>24000</v>
      </c>
      <c r="F334" s="9">
        <f t="shared" si="7"/>
        <v>144000</v>
      </c>
    </row>
    <row r="335" spans="1:14" x14ac:dyDescent="0.25">
      <c r="B335" t="s">
        <v>51</v>
      </c>
      <c r="C335">
        <v>23</v>
      </c>
      <c r="D335" t="s">
        <v>69</v>
      </c>
      <c r="E335" s="9">
        <v>24000</v>
      </c>
      <c r="F335" s="9">
        <f t="shared" si="7"/>
        <v>552000</v>
      </c>
    </row>
    <row r="336" spans="1:14" x14ac:dyDescent="0.25">
      <c r="B336" t="s">
        <v>80</v>
      </c>
      <c r="C336">
        <v>20</v>
      </c>
      <c r="D336" t="s">
        <v>72</v>
      </c>
      <c r="E336" s="9">
        <v>24000</v>
      </c>
      <c r="F336" s="9">
        <f t="shared" si="7"/>
        <v>480000</v>
      </c>
    </row>
    <row r="337" spans="1:6" x14ac:dyDescent="0.25">
      <c r="A337" s="8">
        <v>45086</v>
      </c>
      <c r="B337" t="s">
        <v>85</v>
      </c>
      <c r="C337">
        <v>10</v>
      </c>
      <c r="D337" t="s">
        <v>69</v>
      </c>
      <c r="E337" s="9">
        <v>24000</v>
      </c>
      <c r="F337" s="9">
        <f t="shared" si="7"/>
        <v>240000</v>
      </c>
    </row>
    <row r="338" spans="1:6" x14ac:dyDescent="0.25">
      <c r="A338" s="8">
        <v>45087</v>
      </c>
      <c r="B338" t="s">
        <v>39</v>
      </c>
      <c r="C338">
        <v>25</v>
      </c>
      <c r="D338" t="s">
        <v>72</v>
      </c>
      <c r="E338" s="9">
        <v>22000</v>
      </c>
      <c r="F338" s="9">
        <f t="shared" si="7"/>
        <v>550000</v>
      </c>
    </row>
    <row r="339" spans="1:6" x14ac:dyDescent="0.25">
      <c r="A339" s="8">
        <v>45087</v>
      </c>
      <c r="B339" t="s">
        <v>42</v>
      </c>
      <c r="C339">
        <v>20</v>
      </c>
      <c r="D339" t="s">
        <v>69</v>
      </c>
      <c r="E339" s="9">
        <v>23000</v>
      </c>
      <c r="F339" s="9">
        <f t="shared" si="7"/>
        <v>460000</v>
      </c>
    </row>
    <row r="340" spans="1:6" x14ac:dyDescent="0.25">
      <c r="B340" t="s">
        <v>82</v>
      </c>
      <c r="C340">
        <v>40</v>
      </c>
      <c r="D340" t="s">
        <v>69</v>
      </c>
      <c r="E340" s="9">
        <v>23000</v>
      </c>
      <c r="F340" s="9">
        <f t="shared" si="7"/>
        <v>920000</v>
      </c>
    </row>
    <row r="341" spans="1:6" x14ac:dyDescent="0.25">
      <c r="B341" t="s">
        <v>45</v>
      </c>
      <c r="C341">
        <v>4</v>
      </c>
      <c r="D341" t="s">
        <v>69</v>
      </c>
      <c r="E341" s="9">
        <v>25000</v>
      </c>
      <c r="F341" s="9">
        <f t="shared" si="7"/>
        <v>100000</v>
      </c>
    </row>
    <row r="342" spans="1:6" x14ac:dyDescent="0.25">
      <c r="B342" t="s">
        <v>83</v>
      </c>
      <c r="C342">
        <v>44</v>
      </c>
      <c r="D342" t="s">
        <v>69</v>
      </c>
      <c r="E342" s="9">
        <v>23000</v>
      </c>
      <c r="F342" s="9">
        <f t="shared" si="7"/>
        <v>1012000</v>
      </c>
    </row>
    <row r="343" spans="1:6" x14ac:dyDescent="0.25">
      <c r="B343" t="s">
        <v>107</v>
      </c>
      <c r="C343">
        <v>2</v>
      </c>
      <c r="D343" t="s">
        <v>69</v>
      </c>
      <c r="E343" s="9">
        <v>25000</v>
      </c>
      <c r="F343" s="9">
        <f t="shared" si="7"/>
        <v>50000</v>
      </c>
    </row>
    <row r="344" spans="1:6" x14ac:dyDescent="0.25">
      <c r="A344" s="8">
        <v>45091</v>
      </c>
      <c r="B344" t="s">
        <v>52</v>
      </c>
      <c r="C344">
        <v>20</v>
      </c>
      <c r="D344" t="s">
        <v>72</v>
      </c>
      <c r="E344" s="9">
        <v>24000</v>
      </c>
      <c r="F344" s="9">
        <f t="shared" si="7"/>
        <v>480000</v>
      </c>
    </row>
    <row r="345" spans="1:6" x14ac:dyDescent="0.25">
      <c r="B345" t="s">
        <v>42</v>
      </c>
      <c r="C345">
        <v>30</v>
      </c>
      <c r="D345" t="s">
        <v>69</v>
      </c>
      <c r="E345" s="9">
        <v>23000</v>
      </c>
      <c r="F345" s="9">
        <f t="shared" si="7"/>
        <v>690000</v>
      </c>
    </row>
    <row r="346" spans="1:6" x14ac:dyDescent="0.25">
      <c r="B346" t="s">
        <v>73</v>
      </c>
      <c r="C346">
        <v>10</v>
      </c>
      <c r="D346" t="s">
        <v>71</v>
      </c>
      <c r="E346" s="9">
        <v>20000</v>
      </c>
      <c r="F346" s="9">
        <f t="shared" si="7"/>
        <v>200000</v>
      </c>
    </row>
    <row r="347" spans="1:6" x14ac:dyDescent="0.25">
      <c r="B347" t="s">
        <v>82</v>
      </c>
      <c r="C347">
        <v>36</v>
      </c>
      <c r="D347" t="s">
        <v>72</v>
      </c>
      <c r="E347" s="9">
        <v>23000</v>
      </c>
      <c r="F347" s="9">
        <f t="shared" si="7"/>
        <v>828000</v>
      </c>
    </row>
    <row r="348" spans="1:6" x14ac:dyDescent="0.25">
      <c r="B348" t="s">
        <v>45</v>
      </c>
      <c r="C348">
        <v>9</v>
      </c>
      <c r="D348" t="s">
        <v>69</v>
      </c>
      <c r="E348" s="9">
        <v>25000</v>
      </c>
      <c r="F348" s="9">
        <f t="shared" si="7"/>
        <v>225000</v>
      </c>
    </row>
    <row r="349" spans="1:6" x14ac:dyDescent="0.25">
      <c r="B349" t="s">
        <v>74</v>
      </c>
      <c r="C349">
        <v>4</v>
      </c>
      <c r="D349" t="s">
        <v>96</v>
      </c>
      <c r="E349" s="9">
        <v>25000</v>
      </c>
      <c r="F349" s="9">
        <f t="shared" si="7"/>
        <v>100000</v>
      </c>
    </row>
    <row r="350" spans="1:6" x14ac:dyDescent="0.25">
      <c r="A350" s="8">
        <v>45092</v>
      </c>
      <c r="B350" t="s">
        <v>51</v>
      </c>
      <c r="C350">
        <v>30</v>
      </c>
      <c r="D350" t="s">
        <v>69</v>
      </c>
      <c r="E350" s="9">
        <v>24000</v>
      </c>
      <c r="F350" s="9">
        <f t="shared" si="7"/>
        <v>720000</v>
      </c>
    </row>
    <row r="351" spans="1:6" x14ac:dyDescent="0.25">
      <c r="B351" t="s">
        <v>83</v>
      </c>
      <c r="C351">
        <v>44</v>
      </c>
      <c r="D351" t="s">
        <v>72</v>
      </c>
      <c r="E351" s="9">
        <v>23000</v>
      </c>
      <c r="F351" s="9">
        <f t="shared" si="7"/>
        <v>1012000</v>
      </c>
    </row>
    <row r="352" spans="1:6" x14ac:dyDescent="0.25">
      <c r="B352" t="s">
        <v>45</v>
      </c>
      <c r="C352">
        <v>2</v>
      </c>
      <c r="D352" t="s">
        <v>69</v>
      </c>
      <c r="E352" s="9">
        <v>25000</v>
      </c>
      <c r="F352" s="9">
        <f t="shared" si="7"/>
        <v>50000</v>
      </c>
    </row>
    <row r="353" spans="1:6" x14ac:dyDescent="0.25">
      <c r="A353" s="8">
        <v>45093</v>
      </c>
      <c r="B353" t="s">
        <v>89</v>
      </c>
      <c r="C353">
        <v>8</v>
      </c>
      <c r="D353" t="s">
        <v>69</v>
      </c>
      <c r="E353" s="9">
        <v>24000</v>
      </c>
      <c r="F353" s="9">
        <f t="shared" si="7"/>
        <v>192000</v>
      </c>
    </row>
    <row r="354" spans="1:6" x14ac:dyDescent="0.25">
      <c r="B354" t="s">
        <v>42</v>
      </c>
      <c r="C354">
        <v>10</v>
      </c>
      <c r="D354" t="s">
        <v>69</v>
      </c>
      <c r="E354" s="9">
        <v>23000</v>
      </c>
      <c r="F354" s="9">
        <f t="shared" ref="F354:F417" si="8">+E354*C354</f>
        <v>230000</v>
      </c>
    </row>
    <row r="355" spans="1:6" x14ac:dyDescent="0.25">
      <c r="B355" t="s">
        <v>83</v>
      </c>
      <c r="C355">
        <v>42</v>
      </c>
      <c r="D355" t="s">
        <v>69</v>
      </c>
      <c r="E355" s="9">
        <v>23000</v>
      </c>
      <c r="F355" s="9">
        <f t="shared" si="8"/>
        <v>966000</v>
      </c>
    </row>
    <row r="356" spans="1:6" x14ac:dyDescent="0.25">
      <c r="A356" s="8">
        <v>45096</v>
      </c>
      <c r="B356" t="s">
        <v>98</v>
      </c>
      <c r="C356">
        <v>10</v>
      </c>
      <c r="D356" t="s">
        <v>72</v>
      </c>
      <c r="E356" s="9">
        <v>24000</v>
      </c>
      <c r="F356" s="9">
        <f t="shared" si="8"/>
        <v>240000</v>
      </c>
    </row>
    <row r="357" spans="1:6" x14ac:dyDescent="0.25">
      <c r="B357" t="s">
        <v>42</v>
      </c>
      <c r="C357">
        <v>20</v>
      </c>
      <c r="D357" t="s">
        <v>69</v>
      </c>
      <c r="E357" s="9">
        <v>23000</v>
      </c>
      <c r="F357" s="9">
        <f t="shared" si="8"/>
        <v>460000</v>
      </c>
    </row>
    <row r="358" spans="1:6" x14ac:dyDescent="0.25">
      <c r="B358" t="s">
        <v>82</v>
      </c>
      <c r="C358">
        <v>106</v>
      </c>
      <c r="D358" t="s">
        <v>72</v>
      </c>
      <c r="E358" s="9">
        <v>23000</v>
      </c>
      <c r="F358" s="9">
        <f t="shared" si="8"/>
        <v>2438000</v>
      </c>
    </row>
    <row r="359" spans="1:6" x14ac:dyDescent="0.25">
      <c r="B359" t="s">
        <v>87</v>
      </c>
      <c r="C359">
        <v>6</v>
      </c>
      <c r="D359" t="s">
        <v>69</v>
      </c>
      <c r="E359" s="9">
        <v>24000</v>
      </c>
      <c r="F359" s="9">
        <f t="shared" si="8"/>
        <v>144000</v>
      </c>
    </row>
    <row r="360" spans="1:6" x14ac:dyDescent="0.25">
      <c r="A360" s="8">
        <v>45098</v>
      </c>
      <c r="B360" t="s">
        <v>39</v>
      </c>
      <c r="C360">
        <v>25</v>
      </c>
      <c r="D360" t="s">
        <v>72</v>
      </c>
      <c r="E360" s="9">
        <v>22000</v>
      </c>
      <c r="F360" s="9">
        <f t="shared" si="8"/>
        <v>550000</v>
      </c>
    </row>
    <row r="361" spans="1:6" x14ac:dyDescent="0.25">
      <c r="B361" t="s">
        <v>45</v>
      </c>
      <c r="C361">
        <v>5</v>
      </c>
      <c r="D361" t="s">
        <v>69</v>
      </c>
      <c r="E361" s="9">
        <v>25000</v>
      </c>
      <c r="F361" s="9">
        <f t="shared" si="8"/>
        <v>125000</v>
      </c>
    </row>
    <row r="362" spans="1:6" x14ac:dyDescent="0.25">
      <c r="B362" t="s">
        <v>100</v>
      </c>
      <c r="C362">
        <v>3</v>
      </c>
      <c r="D362" t="s">
        <v>96</v>
      </c>
      <c r="E362" s="9">
        <v>25000</v>
      </c>
      <c r="F362" s="9">
        <f t="shared" si="8"/>
        <v>75000</v>
      </c>
    </row>
    <row r="363" spans="1:6" x14ac:dyDescent="0.25">
      <c r="A363" s="8">
        <v>45098</v>
      </c>
      <c r="B363" t="s">
        <v>83</v>
      </c>
      <c r="C363">
        <v>90</v>
      </c>
      <c r="D363" t="s">
        <v>72</v>
      </c>
      <c r="E363" s="9">
        <v>23000</v>
      </c>
      <c r="F363" s="9">
        <f t="shared" si="8"/>
        <v>2070000</v>
      </c>
    </row>
    <row r="364" spans="1:6" x14ac:dyDescent="0.25">
      <c r="B364" t="s">
        <v>88</v>
      </c>
      <c r="C364">
        <v>3</v>
      </c>
      <c r="D364" t="s">
        <v>69</v>
      </c>
      <c r="E364" s="9">
        <v>25000</v>
      </c>
      <c r="F364" s="9">
        <f t="shared" si="8"/>
        <v>75000</v>
      </c>
    </row>
    <row r="365" spans="1:6" x14ac:dyDescent="0.25">
      <c r="A365" s="8">
        <v>45099</v>
      </c>
      <c r="B365" t="s">
        <v>89</v>
      </c>
      <c r="C365">
        <v>10</v>
      </c>
      <c r="D365" t="s">
        <v>72</v>
      </c>
      <c r="E365" s="9">
        <v>24000</v>
      </c>
      <c r="F365" s="9">
        <f t="shared" si="8"/>
        <v>240000</v>
      </c>
    </row>
    <row r="366" spans="1:6" x14ac:dyDescent="0.25">
      <c r="B366" t="s">
        <v>51</v>
      </c>
      <c r="C366">
        <v>25</v>
      </c>
      <c r="D366" t="s">
        <v>72</v>
      </c>
      <c r="E366" s="9">
        <v>24000</v>
      </c>
      <c r="F366" s="9">
        <f t="shared" si="8"/>
        <v>600000</v>
      </c>
    </row>
    <row r="367" spans="1:6" x14ac:dyDescent="0.25">
      <c r="B367" t="s">
        <v>73</v>
      </c>
      <c r="C367">
        <v>5</v>
      </c>
      <c r="D367" t="s">
        <v>71</v>
      </c>
      <c r="E367" s="9">
        <v>20000</v>
      </c>
      <c r="F367" s="9">
        <f t="shared" si="8"/>
        <v>100000</v>
      </c>
    </row>
    <row r="368" spans="1:6" x14ac:dyDescent="0.25">
      <c r="B368" t="s">
        <v>42</v>
      </c>
      <c r="C368">
        <v>10</v>
      </c>
      <c r="D368" t="s">
        <v>69</v>
      </c>
      <c r="E368" s="9">
        <v>23000</v>
      </c>
      <c r="F368" s="9">
        <f t="shared" si="8"/>
        <v>230000</v>
      </c>
    </row>
    <row r="369" spans="1:6" x14ac:dyDescent="0.25">
      <c r="A369" s="8">
        <v>45100</v>
      </c>
      <c r="B369" t="s">
        <v>52</v>
      </c>
      <c r="C369">
        <v>15</v>
      </c>
      <c r="D369" t="s">
        <v>69</v>
      </c>
      <c r="E369" s="9">
        <v>24000</v>
      </c>
      <c r="F369" s="9">
        <f t="shared" si="8"/>
        <v>360000</v>
      </c>
    </row>
    <row r="370" spans="1:6" x14ac:dyDescent="0.25">
      <c r="B370" t="s">
        <v>82</v>
      </c>
      <c r="C370">
        <v>53</v>
      </c>
      <c r="D370" t="s">
        <v>72</v>
      </c>
      <c r="E370" s="9">
        <v>23000</v>
      </c>
      <c r="F370" s="9">
        <f t="shared" si="8"/>
        <v>1219000</v>
      </c>
    </row>
    <row r="371" spans="1:6" x14ac:dyDescent="0.25">
      <c r="A371" s="8">
        <v>45101</v>
      </c>
      <c r="B371" t="s">
        <v>39</v>
      </c>
      <c r="C371">
        <v>23</v>
      </c>
      <c r="D371" t="s">
        <v>72</v>
      </c>
      <c r="E371" s="9">
        <v>22000</v>
      </c>
      <c r="F371" s="9">
        <f t="shared" si="8"/>
        <v>506000</v>
      </c>
    </row>
    <row r="372" spans="1:6" x14ac:dyDescent="0.25">
      <c r="B372" t="s">
        <v>115</v>
      </c>
      <c r="C372">
        <v>3</v>
      </c>
      <c r="D372" t="s">
        <v>69</v>
      </c>
      <c r="E372" s="9">
        <v>25000</v>
      </c>
      <c r="F372" s="9">
        <f t="shared" si="8"/>
        <v>75000</v>
      </c>
    </row>
    <row r="373" spans="1:6" x14ac:dyDescent="0.25">
      <c r="A373" s="8">
        <v>45103</v>
      </c>
      <c r="B373" t="s">
        <v>98</v>
      </c>
      <c r="C373">
        <v>10</v>
      </c>
      <c r="D373" t="s">
        <v>72</v>
      </c>
      <c r="E373" s="9">
        <v>24000</v>
      </c>
      <c r="F373" s="9">
        <f t="shared" si="8"/>
        <v>240000</v>
      </c>
    </row>
    <row r="374" spans="1:6" x14ac:dyDescent="0.25">
      <c r="B374" t="s">
        <v>107</v>
      </c>
      <c r="C374">
        <v>2</v>
      </c>
      <c r="D374" t="s">
        <v>69</v>
      </c>
      <c r="E374" s="9">
        <v>25000</v>
      </c>
      <c r="F374" s="9">
        <f t="shared" si="8"/>
        <v>50000</v>
      </c>
    </row>
    <row r="375" spans="1:6" x14ac:dyDescent="0.25">
      <c r="B375" t="s">
        <v>42</v>
      </c>
      <c r="C375">
        <v>20</v>
      </c>
      <c r="D375" t="s">
        <v>69</v>
      </c>
      <c r="E375" s="9">
        <v>23000</v>
      </c>
      <c r="F375" s="9">
        <f t="shared" si="8"/>
        <v>460000</v>
      </c>
    </row>
    <row r="376" spans="1:6" x14ac:dyDescent="0.25">
      <c r="B376" t="s">
        <v>82</v>
      </c>
      <c r="C376">
        <v>100</v>
      </c>
      <c r="D376" t="s">
        <v>69</v>
      </c>
      <c r="E376" s="9">
        <v>23000</v>
      </c>
      <c r="F376" s="9">
        <f t="shared" si="8"/>
        <v>2300000</v>
      </c>
    </row>
    <row r="377" spans="1:6" x14ac:dyDescent="0.25">
      <c r="A377" s="8">
        <v>45104</v>
      </c>
      <c r="B377" t="s">
        <v>39</v>
      </c>
      <c r="C377">
        <v>25</v>
      </c>
      <c r="D377" t="s">
        <v>72</v>
      </c>
      <c r="E377" s="9">
        <v>22000</v>
      </c>
      <c r="F377" s="9">
        <f t="shared" si="8"/>
        <v>550000</v>
      </c>
    </row>
    <row r="378" spans="1:6" x14ac:dyDescent="0.25">
      <c r="A378" s="8">
        <v>45104</v>
      </c>
      <c r="B378" t="s">
        <v>51</v>
      </c>
      <c r="C378">
        <v>35</v>
      </c>
      <c r="D378" t="s">
        <v>69</v>
      </c>
      <c r="E378" s="9">
        <v>24000</v>
      </c>
      <c r="F378" s="9">
        <f t="shared" si="8"/>
        <v>840000</v>
      </c>
    </row>
    <row r="379" spans="1:6" x14ac:dyDescent="0.25">
      <c r="B379" t="s">
        <v>51</v>
      </c>
      <c r="C379">
        <v>13</v>
      </c>
      <c r="D379" t="s">
        <v>72</v>
      </c>
      <c r="E379" s="9">
        <v>23000</v>
      </c>
      <c r="F379" s="9">
        <f t="shared" si="8"/>
        <v>299000</v>
      </c>
    </row>
    <row r="380" spans="1:6" x14ac:dyDescent="0.25">
      <c r="B380" t="s">
        <v>87</v>
      </c>
      <c r="C380">
        <v>4</v>
      </c>
      <c r="D380" t="s">
        <v>69</v>
      </c>
      <c r="E380" s="9">
        <v>24000</v>
      </c>
      <c r="F380" s="9">
        <f t="shared" si="8"/>
        <v>96000</v>
      </c>
    </row>
    <row r="381" spans="1:6" x14ac:dyDescent="0.25">
      <c r="A381" s="8">
        <v>45105</v>
      </c>
      <c r="B381" t="s">
        <v>85</v>
      </c>
      <c r="C381">
        <v>10</v>
      </c>
      <c r="D381" t="s">
        <v>69</v>
      </c>
      <c r="E381" s="9">
        <v>24000</v>
      </c>
      <c r="F381" s="9">
        <f t="shared" si="8"/>
        <v>240000</v>
      </c>
    </row>
    <row r="382" spans="1:6" x14ac:dyDescent="0.25">
      <c r="B382" t="s">
        <v>45</v>
      </c>
      <c r="C382">
        <v>4</v>
      </c>
      <c r="D382" t="s">
        <v>69</v>
      </c>
      <c r="E382" s="9">
        <v>25000</v>
      </c>
      <c r="F382" s="9">
        <f t="shared" si="8"/>
        <v>100000</v>
      </c>
    </row>
    <row r="383" spans="1:6" x14ac:dyDescent="0.25">
      <c r="B383" t="s">
        <v>97</v>
      </c>
      <c r="C383">
        <v>5</v>
      </c>
      <c r="D383" t="s">
        <v>72</v>
      </c>
      <c r="E383" s="9">
        <v>24000</v>
      </c>
      <c r="F383" s="9">
        <f t="shared" si="8"/>
        <v>120000</v>
      </c>
    </row>
    <row r="384" spans="1:6" x14ac:dyDescent="0.25">
      <c r="B384" t="s">
        <v>42</v>
      </c>
      <c r="C384">
        <v>20</v>
      </c>
      <c r="D384" t="s">
        <v>69</v>
      </c>
      <c r="E384" s="9">
        <v>23000</v>
      </c>
      <c r="F384" s="9">
        <f t="shared" si="8"/>
        <v>460000</v>
      </c>
    </row>
    <row r="385" spans="1:14" x14ac:dyDescent="0.25">
      <c r="B385" t="s">
        <v>82</v>
      </c>
      <c r="C385">
        <v>8</v>
      </c>
      <c r="D385" t="s">
        <v>72</v>
      </c>
      <c r="E385" s="9">
        <v>23000</v>
      </c>
      <c r="F385" s="9">
        <f t="shared" si="8"/>
        <v>184000</v>
      </c>
    </row>
    <row r="386" spans="1:14" x14ac:dyDescent="0.25">
      <c r="B386" t="s">
        <v>73</v>
      </c>
      <c r="C386">
        <v>5</v>
      </c>
      <c r="D386" t="s">
        <v>71</v>
      </c>
      <c r="E386" s="9">
        <v>20000</v>
      </c>
      <c r="F386" s="9">
        <f t="shared" si="8"/>
        <v>100000</v>
      </c>
    </row>
    <row r="387" spans="1:14" x14ac:dyDescent="0.25">
      <c r="B387" t="s">
        <v>74</v>
      </c>
      <c r="C387">
        <v>4</v>
      </c>
      <c r="D387" t="s">
        <v>69</v>
      </c>
      <c r="E387" s="9">
        <v>25000</v>
      </c>
      <c r="F387" s="9">
        <f t="shared" si="8"/>
        <v>100000</v>
      </c>
    </row>
    <row r="388" spans="1:14" x14ac:dyDescent="0.25">
      <c r="A388" s="8">
        <v>45106</v>
      </c>
      <c r="B388" t="s">
        <v>82</v>
      </c>
      <c r="C388">
        <v>61</v>
      </c>
      <c r="D388" t="s">
        <v>72</v>
      </c>
      <c r="E388" s="9">
        <v>23000</v>
      </c>
      <c r="F388" s="9">
        <f t="shared" si="8"/>
        <v>1403000</v>
      </c>
    </row>
    <row r="389" spans="1:14" x14ac:dyDescent="0.25">
      <c r="B389" t="s">
        <v>94</v>
      </c>
      <c r="C389">
        <v>3</v>
      </c>
      <c r="D389" t="s">
        <v>96</v>
      </c>
      <c r="E389" s="9">
        <v>25000</v>
      </c>
      <c r="F389" s="9">
        <f t="shared" si="8"/>
        <v>75000</v>
      </c>
    </row>
    <row r="390" spans="1:14" x14ac:dyDescent="0.25">
      <c r="A390" s="8">
        <v>45107</v>
      </c>
      <c r="B390" t="s">
        <v>45</v>
      </c>
      <c r="C390">
        <v>8</v>
      </c>
      <c r="D390" t="s">
        <v>69</v>
      </c>
      <c r="E390" s="9">
        <v>25000</v>
      </c>
      <c r="F390" s="9">
        <f t="shared" si="8"/>
        <v>200000</v>
      </c>
    </row>
    <row r="391" spans="1:14" x14ac:dyDescent="0.25">
      <c r="B391" t="s">
        <v>89</v>
      </c>
      <c r="C391">
        <v>10</v>
      </c>
      <c r="D391" t="s">
        <v>69</v>
      </c>
      <c r="E391" s="9">
        <v>24000</v>
      </c>
      <c r="F391" s="9">
        <f t="shared" si="8"/>
        <v>240000</v>
      </c>
    </row>
    <row r="392" spans="1:14" x14ac:dyDescent="0.25">
      <c r="A392" s="8">
        <v>45107</v>
      </c>
      <c r="B392" t="s">
        <v>39</v>
      </c>
      <c r="C392">
        <v>41</v>
      </c>
      <c r="D392" t="s">
        <v>72</v>
      </c>
      <c r="E392" s="9">
        <v>22000</v>
      </c>
      <c r="F392" s="9">
        <f t="shared" si="8"/>
        <v>902000</v>
      </c>
    </row>
    <row r="393" spans="1:14" x14ac:dyDescent="0.25">
      <c r="B393" t="s">
        <v>109</v>
      </c>
      <c r="C393">
        <v>6</v>
      </c>
      <c r="D393" t="s">
        <v>96</v>
      </c>
      <c r="E393" s="9">
        <v>25000</v>
      </c>
      <c r="F393" s="9">
        <f t="shared" si="8"/>
        <v>150000</v>
      </c>
    </row>
    <row r="394" spans="1:14" s="30" customFormat="1" x14ac:dyDescent="0.25">
      <c r="A394" s="29">
        <v>45108</v>
      </c>
      <c r="B394" s="30" t="s">
        <v>51</v>
      </c>
      <c r="C394" s="30">
        <v>10</v>
      </c>
      <c r="D394" s="30" t="s">
        <v>72</v>
      </c>
      <c r="E394" s="31">
        <v>23000</v>
      </c>
      <c r="F394" s="31">
        <f t="shared" si="8"/>
        <v>230000</v>
      </c>
      <c r="G394" s="31">
        <f>+SUM(F394:F475)/SUM(C394:C475)</f>
        <v>22953.007518796992</v>
      </c>
      <c r="I394" s="36" t="s">
        <v>139</v>
      </c>
      <c r="J394" s="31">
        <v>28</v>
      </c>
      <c r="M394" s="31"/>
    </row>
    <row r="395" spans="1:14" x14ac:dyDescent="0.25">
      <c r="B395" t="s">
        <v>51</v>
      </c>
      <c r="C395">
        <v>10</v>
      </c>
      <c r="D395" t="s">
        <v>69</v>
      </c>
      <c r="E395" s="9">
        <v>24000</v>
      </c>
      <c r="F395" s="9">
        <f t="shared" si="8"/>
        <v>240000</v>
      </c>
      <c r="M395" s="9"/>
    </row>
    <row r="396" spans="1:14" x14ac:dyDescent="0.25">
      <c r="B396" t="s">
        <v>87</v>
      </c>
      <c r="C396">
        <v>6</v>
      </c>
      <c r="D396" t="s">
        <v>72</v>
      </c>
      <c r="E396" s="9">
        <v>24000</v>
      </c>
      <c r="F396" s="9">
        <f t="shared" si="8"/>
        <v>144000</v>
      </c>
      <c r="I396" s="40" t="s">
        <v>144</v>
      </c>
      <c r="J396" s="40"/>
      <c r="L396" s="40" t="s">
        <v>141</v>
      </c>
      <c r="M396" s="40"/>
    </row>
    <row r="397" spans="1:14" x14ac:dyDescent="0.25">
      <c r="B397" t="s">
        <v>45</v>
      </c>
      <c r="C397">
        <v>2</v>
      </c>
      <c r="D397" t="s">
        <v>69</v>
      </c>
      <c r="E397" s="9">
        <v>25000</v>
      </c>
      <c r="F397" s="9">
        <f t="shared" si="8"/>
        <v>50000</v>
      </c>
      <c r="I397" t="s">
        <v>139</v>
      </c>
      <c r="J397" s="17">
        <f>60/100*9*M397*J394</f>
        <v>1133999.9999999998</v>
      </c>
      <c r="L397" t="s">
        <v>140</v>
      </c>
      <c r="M397" s="9">
        <v>7500</v>
      </c>
      <c r="N397" t="s">
        <v>146</v>
      </c>
    </row>
    <row r="398" spans="1:14" x14ac:dyDescent="0.25">
      <c r="B398" t="s">
        <v>42</v>
      </c>
      <c r="C398">
        <v>20</v>
      </c>
      <c r="D398" t="s">
        <v>69</v>
      </c>
      <c r="E398" s="9">
        <v>23000</v>
      </c>
      <c r="F398" s="9">
        <f t="shared" si="8"/>
        <v>460000</v>
      </c>
      <c r="I398" t="s">
        <v>48</v>
      </c>
      <c r="J398" s="9">
        <f>+SUM(C394:C475)*M398</f>
        <v>798000</v>
      </c>
      <c r="L398" t="s">
        <v>48</v>
      </c>
      <c r="M398" s="9">
        <v>500</v>
      </c>
      <c r="N398" t="s">
        <v>147</v>
      </c>
    </row>
    <row r="399" spans="1:14" x14ac:dyDescent="0.25">
      <c r="A399" s="8">
        <v>45110</v>
      </c>
      <c r="B399" t="s">
        <v>82</v>
      </c>
      <c r="C399">
        <v>82</v>
      </c>
      <c r="D399" t="s">
        <v>69</v>
      </c>
      <c r="E399" s="9">
        <v>23000</v>
      </c>
      <c r="F399" s="9">
        <f t="shared" si="8"/>
        <v>1886000</v>
      </c>
      <c r="I399" t="s">
        <v>142</v>
      </c>
      <c r="J399" s="9">
        <f>9.5*31*M399</f>
        <v>18553500</v>
      </c>
      <c r="L399" t="s">
        <v>142</v>
      </c>
      <c r="M399" s="9">
        <v>63000</v>
      </c>
      <c r="N399" t="s">
        <v>148</v>
      </c>
    </row>
    <row r="400" spans="1:14" x14ac:dyDescent="0.25">
      <c r="A400" s="8">
        <v>45111</v>
      </c>
      <c r="B400" t="s">
        <v>42</v>
      </c>
      <c r="C400">
        <v>20</v>
      </c>
      <c r="D400" t="s">
        <v>69</v>
      </c>
      <c r="E400" s="9">
        <v>23000</v>
      </c>
      <c r="F400" s="9">
        <f t="shared" si="8"/>
        <v>460000</v>
      </c>
      <c r="I400" t="s">
        <v>145</v>
      </c>
      <c r="J400" s="9">
        <f>+M400*31</f>
        <v>1860000</v>
      </c>
      <c r="L400" t="s">
        <v>143</v>
      </c>
      <c r="M400" s="9">
        <v>60000</v>
      </c>
      <c r="N400" t="s">
        <v>149</v>
      </c>
    </row>
    <row r="401" spans="1:14" x14ac:dyDescent="0.25">
      <c r="B401" t="s">
        <v>51</v>
      </c>
      <c r="C401">
        <v>15</v>
      </c>
      <c r="D401" t="s">
        <v>69</v>
      </c>
      <c r="E401" s="9">
        <v>24000</v>
      </c>
      <c r="F401" s="9">
        <f t="shared" si="8"/>
        <v>360000</v>
      </c>
      <c r="I401" t="s">
        <v>150</v>
      </c>
      <c r="J401" s="9">
        <v>15000</v>
      </c>
      <c r="K401" s="27"/>
      <c r="M401" s="9"/>
    </row>
    <row r="402" spans="1:14" x14ac:dyDescent="0.25">
      <c r="A402" s="8">
        <v>45111</v>
      </c>
      <c r="B402" t="s">
        <v>39</v>
      </c>
      <c r="C402">
        <v>30</v>
      </c>
      <c r="D402" t="s">
        <v>72</v>
      </c>
      <c r="E402" s="9">
        <v>22000</v>
      </c>
      <c r="F402" s="9">
        <f t="shared" si="8"/>
        <v>660000</v>
      </c>
      <c r="I402" t="s">
        <v>151</v>
      </c>
      <c r="J402" s="9">
        <v>150000</v>
      </c>
      <c r="M402" s="9"/>
    </row>
    <row r="403" spans="1:14" x14ac:dyDescent="0.25">
      <c r="A403" s="8">
        <v>45112</v>
      </c>
      <c r="B403" t="s">
        <v>102</v>
      </c>
      <c r="C403">
        <v>7</v>
      </c>
      <c r="D403" t="s">
        <v>96</v>
      </c>
      <c r="E403" s="9">
        <v>24000</v>
      </c>
      <c r="F403" s="9">
        <f t="shared" si="8"/>
        <v>168000</v>
      </c>
      <c r="I403" t="s">
        <v>152</v>
      </c>
      <c r="J403" s="9">
        <f>+SUM(J397:J402)</f>
        <v>22510500</v>
      </c>
      <c r="N403" s="9"/>
    </row>
    <row r="404" spans="1:14" x14ac:dyDescent="0.25">
      <c r="B404" t="s">
        <v>82</v>
      </c>
      <c r="C404">
        <v>82</v>
      </c>
      <c r="D404" t="s">
        <v>72</v>
      </c>
      <c r="E404" s="9">
        <v>23000</v>
      </c>
      <c r="F404" s="9">
        <f t="shared" si="8"/>
        <v>1886000</v>
      </c>
      <c r="M404" s="9"/>
    </row>
    <row r="405" spans="1:14" x14ac:dyDescent="0.25">
      <c r="B405" t="s">
        <v>45</v>
      </c>
      <c r="C405">
        <v>5</v>
      </c>
      <c r="D405" t="s">
        <v>72</v>
      </c>
      <c r="E405" s="9">
        <v>25000</v>
      </c>
      <c r="F405" s="9">
        <f t="shared" si="8"/>
        <v>125000</v>
      </c>
      <c r="I405" t="s">
        <v>153</v>
      </c>
      <c r="J405" s="9">
        <f>+SUM(F394:F475)</f>
        <v>36633000</v>
      </c>
      <c r="M405" s="9"/>
    </row>
    <row r="406" spans="1:14" ht="15.75" thickBot="1" x14ac:dyDescent="0.3">
      <c r="A406" s="8">
        <v>45114</v>
      </c>
      <c r="B406" t="s">
        <v>89</v>
      </c>
      <c r="C406">
        <v>5</v>
      </c>
      <c r="D406" t="s">
        <v>69</v>
      </c>
      <c r="E406" s="9">
        <v>24000</v>
      </c>
      <c r="F406" s="9">
        <f t="shared" si="8"/>
        <v>120000</v>
      </c>
      <c r="M406" s="9"/>
    </row>
    <row r="407" spans="1:14" ht="15.75" thickBot="1" x14ac:dyDescent="0.3">
      <c r="B407" t="s">
        <v>51</v>
      </c>
      <c r="C407">
        <v>20</v>
      </c>
      <c r="D407" t="s">
        <v>69</v>
      </c>
      <c r="E407" s="9">
        <v>24000</v>
      </c>
      <c r="F407" s="9">
        <f t="shared" si="8"/>
        <v>480000</v>
      </c>
      <c r="I407" s="34" t="s">
        <v>155</v>
      </c>
      <c r="J407" s="35">
        <f>+J405-J403</f>
        <v>14122500</v>
      </c>
      <c r="M407" s="9"/>
    </row>
    <row r="408" spans="1:14" x14ac:dyDescent="0.25">
      <c r="B408" t="s">
        <v>42</v>
      </c>
      <c r="C408">
        <v>20</v>
      </c>
      <c r="D408" t="s">
        <v>69</v>
      </c>
      <c r="E408" s="9">
        <v>23000</v>
      </c>
      <c r="F408" s="9">
        <f t="shared" si="8"/>
        <v>460000</v>
      </c>
    </row>
    <row r="409" spans="1:14" x14ac:dyDescent="0.25">
      <c r="B409" t="s">
        <v>82</v>
      </c>
      <c r="C409">
        <v>69</v>
      </c>
      <c r="D409" t="s">
        <v>72</v>
      </c>
      <c r="E409" s="9">
        <v>23000</v>
      </c>
      <c r="F409" s="9">
        <f t="shared" si="8"/>
        <v>1587000</v>
      </c>
    </row>
    <row r="410" spans="1:14" x14ac:dyDescent="0.25">
      <c r="B410" t="s">
        <v>73</v>
      </c>
      <c r="C410">
        <v>5</v>
      </c>
      <c r="D410" t="s">
        <v>71</v>
      </c>
      <c r="E410" s="9">
        <v>20000</v>
      </c>
      <c r="F410" s="9">
        <f t="shared" si="8"/>
        <v>100000</v>
      </c>
    </row>
    <row r="411" spans="1:14" x14ac:dyDescent="0.25">
      <c r="A411" s="8">
        <v>45115</v>
      </c>
      <c r="B411" t="s">
        <v>45</v>
      </c>
      <c r="C411">
        <v>4</v>
      </c>
      <c r="D411" t="s">
        <v>69</v>
      </c>
      <c r="E411" s="9">
        <v>25000</v>
      </c>
      <c r="F411" s="9">
        <f t="shared" si="8"/>
        <v>100000</v>
      </c>
    </row>
    <row r="412" spans="1:14" x14ac:dyDescent="0.25">
      <c r="B412" t="s">
        <v>89</v>
      </c>
      <c r="C412">
        <v>5</v>
      </c>
      <c r="D412" t="s">
        <v>69</v>
      </c>
      <c r="E412" s="9">
        <v>24000</v>
      </c>
      <c r="F412" s="9">
        <f t="shared" si="8"/>
        <v>120000</v>
      </c>
    </row>
    <row r="413" spans="1:14" x14ac:dyDescent="0.25">
      <c r="A413" s="8">
        <v>45116</v>
      </c>
      <c r="B413" t="s">
        <v>39</v>
      </c>
      <c r="C413">
        <v>30</v>
      </c>
      <c r="D413" t="s">
        <v>72</v>
      </c>
      <c r="E413" s="9">
        <v>22000</v>
      </c>
      <c r="F413" s="9">
        <f t="shared" si="8"/>
        <v>660000</v>
      </c>
    </row>
    <row r="414" spans="1:14" x14ac:dyDescent="0.25">
      <c r="B414" t="s">
        <v>45</v>
      </c>
      <c r="C414">
        <v>1</v>
      </c>
      <c r="D414" t="s">
        <v>69</v>
      </c>
      <c r="E414" s="9">
        <v>25000</v>
      </c>
      <c r="F414" s="9">
        <f t="shared" si="8"/>
        <v>25000</v>
      </c>
    </row>
    <row r="415" spans="1:14" x14ac:dyDescent="0.25">
      <c r="B415" t="s">
        <v>110</v>
      </c>
      <c r="C415">
        <v>2</v>
      </c>
      <c r="D415" t="s">
        <v>96</v>
      </c>
      <c r="E415" s="9">
        <v>25000</v>
      </c>
      <c r="F415" s="9">
        <f t="shared" si="8"/>
        <v>50000</v>
      </c>
    </row>
    <row r="416" spans="1:14" x14ac:dyDescent="0.25">
      <c r="A416" s="8">
        <v>45117</v>
      </c>
      <c r="B416" t="s">
        <v>100</v>
      </c>
      <c r="C416">
        <v>3</v>
      </c>
      <c r="D416" t="s">
        <v>96</v>
      </c>
      <c r="E416" s="9">
        <v>25000</v>
      </c>
      <c r="F416" s="9">
        <f t="shared" si="8"/>
        <v>75000</v>
      </c>
    </row>
    <row r="417" spans="1:6" x14ac:dyDescent="0.25">
      <c r="B417" t="s">
        <v>98</v>
      </c>
      <c r="C417">
        <v>10</v>
      </c>
      <c r="D417" t="s">
        <v>69</v>
      </c>
      <c r="E417" s="9">
        <v>24000</v>
      </c>
      <c r="F417" s="9">
        <f t="shared" si="8"/>
        <v>240000</v>
      </c>
    </row>
    <row r="418" spans="1:6" x14ac:dyDescent="0.25">
      <c r="B418" t="s">
        <v>42</v>
      </c>
      <c r="C418">
        <v>10</v>
      </c>
      <c r="D418" t="s">
        <v>69</v>
      </c>
      <c r="E418" s="9">
        <v>23000</v>
      </c>
      <c r="F418" s="9">
        <f t="shared" ref="F418:F481" si="9">+E418*C418</f>
        <v>230000</v>
      </c>
    </row>
    <row r="419" spans="1:6" x14ac:dyDescent="0.25">
      <c r="B419" t="s">
        <v>82</v>
      </c>
      <c r="C419">
        <v>94</v>
      </c>
      <c r="D419" t="s">
        <v>69</v>
      </c>
      <c r="E419" s="9">
        <v>23000</v>
      </c>
      <c r="F419" s="9">
        <f t="shared" si="9"/>
        <v>2162000</v>
      </c>
    </row>
    <row r="420" spans="1:6" x14ac:dyDescent="0.25">
      <c r="B420" t="s">
        <v>73</v>
      </c>
      <c r="C420">
        <v>5</v>
      </c>
      <c r="D420" t="s">
        <v>71</v>
      </c>
      <c r="E420" s="9">
        <v>20000</v>
      </c>
      <c r="F420" s="9">
        <f t="shared" si="9"/>
        <v>100000</v>
      </c>
    </row>
    <row r="421" spans="1:6" x14ac:dyDescent="0.25">
      <c r="A421" s="8">
        <v>45119</v>
      </c>
      <c r="B421" t="s">
        <v>39</v>
      </c>
      <c r="C421">
        <v>25</v>
      </c>
      <c r="D421" t="s">
        <v>72</v>
      </c>
      <c r="E421" s="9">
        <v>22000</v>
      </c>
      <c r="F421" s="9">
        <f t="shared" si="9"/>
        <v>550000</v>
      </c>
    </row>
    <row r="422" spans="1:6" x14ac:dyDescent="0.25">
      <c r="A422" s="8">
        <v>45119</v>
      </c>
      <c r="B422" t="s">
        <v>82</v>
      </c>
      <c r="C422">
        <v>77</v>
      </c>
      <c r="D422" t="s">
        <v>72</v>
      </c>
      <c r="E422" s="9">
        <v>23000</v>
      </c>
      <c r="F422" s="9">
        <f t="shared" si="9"/>
        <v>1771000</v>
      </c>
    </row>
    <row r="423" spans="1:6" x14ac:dyDescent="0.25">
      <c r="B423" t="s">
        <v>73</v>
      </c>
      <c r="C423">
        <v>5</v>
      </c>
      <c r="D423" t="s">
        <v>71</v>
      </c>
      <c r="E423" s="9">
        <v>20000</v>
      </c>
      <c r="F423" s="9">
        <f t="shared" si="9"/>
        <v>100000</v>
      </c>
    </row>
    <row r="424" spans="1:6" x14ac:dyDescent="0.25">
      <c r="A424" s="8">
        <v>45120</v>
      </c>
      <c r="B424" t="s">
        <v>45</v>
      </c>
      <c r="C424">
        <v>2</v>
      </c>
      <c r="D424" t="s">
        <v>69</v>
      </c>
      <c r="E424" s="9">
        <v>25000</v>
      </c>
      <c r="F424" s="9">
        <f t="shared" si="9"/>
        <v>50000</v>
      </c>
    </row>
    <row r="425" spans="1:6" x14ac:dyDescent="0.25">
      <c r="B425" t="s">
        <v>80</v>
      </c>
      <c r="C425">
        <v>15</v>
      </c>
      <c r="D425" t="s">
        <v>69</v>
      </c>
      <c r="E425" s="9">
        <v>24000</v>
      </c>
      <c r="F425" s="9">
        <f t="shared" si="9"/>
        <v>360000</v>
      </c>
    </row>
    <row r="426" spans="1:6" x14ac:dyDescent="0.25">
      <c r="B426" t="s">
        <v>86</v>
      </c>
      <c r="C426">
        <v>4</v>
      </c>
      <c r="D426" t="s">
        <v>96</v>
      </c>
      <c r="E426" s="9">
        <v>25000</v>
      </c>
      <c r="F426" s="9">
        <f t="shared" si="9"/>
        <v>100000</v>
      </c>
    </row>
    <row r="427" spans="1:6" x14ac:dyDescent="0.25">
      <c r="B427" t="s">
        <v>88</v>
      </c>
      <c r="C427">
        <v>5</v>
      </c>
      <c r="D427" t="s">
        <v>69</v>
      </c>
      <c r="E427" s="9">
        <v>24000</v>
      </c>
      <c r="F427" s="9">
        <f t="shared" si="9"/>
        <v>120000</v>
      </c>
    </row>
    <row r="428" spans="1:6" x14ac:dyDescent="0.25">
      <c r="B428" t="s">
        <v>42</v>
      </c>
      <c r="C428">
        <v>20</v>
      </c>
      <c r="D428" t="s">
        <v>69</v>
      </c>
      <c r="E428" s="9">
        <v>23000</v>
      </c>
      <c r="F428" s="9">
        <f t="shared" si="9"/>
        <v>460000</v>
      </c>
    </row>
    <row r="429" spans="1:6" x14ac:dyDescent="0.25">
      <c r="A429" s="8">
        <v>45122</v>
      </c>
      <c r="B429" t="s">
        <v>45</v>
      </c>
      <c r="C429">
        <v>4</v>
      </c>
      <c r="D429" t="s">
        <v>69</v>
      </c>
      <c r="E429" s="9">
        <v>25000</v>
      </c>
      <c r="F429" s="9">
        <f t="shared" si="9"/>
        <v>100000</v>
      </c>
    </row>
    <row r="430" spans="1:6" x14ac:dyDescent="0.25">
      <c r="B430" t="s">
        <v>39</v>
      </c>
      <c r="C430">
        <v>22</v>
      </c>
      <c r="D430" t="s">
        <v>72</v>
      </c>
      <c r="E430" s="9">
        <v>22000</v>
      </c>
      <c r="F430" s="9">
        <f t="shared" si="9"/>
        <v>484000</v>
      </c>
    </row>
    <row r="431" spans="1:6" x14ac:dyDescent="0.25">
      <c r="A431" s="8">
        <v>45124</v>
      </c>
      <c r="B431" t="s">
        <v>42</v>
      </c>
      <c r="C431">
        <v>20</v>
      </c>
      <c r="D431" t="s">
        <v>69</v>
      </c>
      <c r="E431" s="9">
        <v>23000</v>
      </c>
      <c r="F431" s="9">
        <f t="shared" si="9"/>
        <v>460000</v>
      </c>
    </row>
    <row r="432" spans="1:6" x14ac:dyDescent="0.25">
      <c r="B432" t="s">
        <v>51</v>
      </c>
      <c r="C432">
        <v>21</v>
      </c>
      <c r="D432" t="s">
        <v>69</v>
      </c>
      <c r="E432" s="9">
        <v>24000</v>
      </c>
      <c r="F432" s="9">
        <f t="shared" si="9"/>
        <v>504000</v>
      </c>
    </row>
    <row r="433" spans="1:6" x14ac:dyDescent="0.25">
      <c r="B433" t="s">
        <v>82</v>
      </c>
      <c r="C433">
        <v>77</v>
      </c>
      <c r="D433" t="s">
        <v>72</v>
      </c>
      <c r="E433" s="9">
        <v>23000</v>
      </c>
      <c r="F433" s="9">
        <f t="shared" si="9"/>
        <v>1771000</v>
      </c>
    </row>
    <row r="434" spans="1:6" x14ac:dyDescent="0.25">
      <c r="A434" s="8">
        <v>45125</v>
      </c>
      <c r="B434" t="s">
        <v>89</v>
      </c>
      <c r="C434">
        <v>10</v>
      </c>
      <c r="D434" t="s">
        <v>69</v>
      </c>
      <c r="E434" s="9">
        <v>24000</v>
      </c>
      <c r="F434" s="9">
        <f t="shared" si="9"/>
        <v>240000</v>
      </c>
    </row>
    <row r="435" spans="1:6" x14ac:dyDescent="0.25">
      <c r="B435" t="s">
        <v>39</v>
      </c>
      <c r="C435">
        <v>24</v>
      </c>
      <c r="D435" t="s">
        <v>72</v>
      </c>
      <c r="E435" s="9">
        <v>22000</v>
      </c>
      <c r="F435" s="9">
        <f t="shared" si="9"/>
        <v>528000</v>
      </c>
    </row>
    <row r="436" spans="1:6" x14ac:dyDescent="0.25">
      <c r="B436" t="s">
        <v>45</v>
      </c>
      <c r="C436">
        <v>5</v>
      </c>
      <c r="D436" t="s">
        <v>69</v>
      </c>
      <c r="E436" s="9">
        <v>25000</v>
      </c>
      <c r="F436" s="9">
        <f t="shared" si="9"/>
        <v>125000</v>
      </c>
    </row>
    <row r="437" spans="1:6" x14ac:dyDescent="0.25">
      <c r="A437" s="8">
        <v>45126</v>
      </c>
      <c r="B437" t="s">
        <v>73</v>
      </c>
      <c r="C437">
        <v>7</v>
      </c>
      <c r="D437" t="s">
        <v>71</v>
      </c>
      <c r="E437" s="9">
        <v>20000</v>
      </c>
      <c r="F437" s="9">
        <f t="shared" si="9"/>
        <v>140000</v>
      </c>
    </row>
    <row r="438" spans="1:6" x14ac:dyDescent="0.25">
      <c r="B438" t="s">
        <v>42</v>
      </c>
      <c r="C438">
        <v>10</v>
      </c>
      <c r="D438" t="s">
        <v>69</v>
      </c>
      <c r="E438" s="9">
        <v>23000</v>
      </c>
      <c r="F438" s="9">
        <f t="shared" si="9"/>
        <v>230000</v>
      </c>
    </row>
    <row r="439" spans="1:6" x14ac:dyDescent="0.25">
      <c r="B439" t="s">
        <v>51</v>
      </c>
      <c r="C439">
        <v>10</v>
      </c>
      <c r="D439" t="s">
        <v>69</v>
      </c>
      <c r="E439" s="9">
        <v>24000</v>
      </c>
      <c r="F439" s="9">
        <f t="shared" si="9"/>
        <v>240000</v>
      </c>
    </row>
    <row r="440" spans="1:6" x14ac:dyDescent="0.25">
      <c r="B440" t="s">
        <v>82</v>
      </c>
      <c r="C440">
        <v>45</v>
      </c>
      <c r="D440" t="s">
        <v>72</v>
      </c>
      <c r="E440" s="9">
        <v>23000</v>
      </c>
      <c r="F440" s="9">
        <f t="shared" si="9"/>
        <v>1035000</v>
      </c>
    </row>
    <row r="441" spans="1:6" x14ac:dyDescent="0.25">
      <c r="A441" s="8">
        <v>45127</v>
      </c>
      <c r="B441" t="s">
        <v>45</v>
      </c>
      <c r="C441">
        <v>4</v>
      </c>
      <c r="D441" t="s">
        <v>96</v>
      </c>
      <c r="E441" s="9">
        <v>25000</v>
      </c>
      <c r="F441" s="9">
        <f t="shared" si="9"/>
        <v>100000</v>
      </c>
    </row>
    <row r="442" spans="1:6" x14ac:dyDescent="0.25">
      <c r="A442" s="8">
        <v>45128</v>
      </c>
      <c r="B442" t="s">
        <v>45</v>
      </c>
      <c r="C442">
        <v>2</v>
      </c>
      <c r="D442" t="s">
        <v>96</v>
      </c>
      <c r="E442" s="9">
        <v>25000</v>
      </c>
      <c r="F442" s="9">
        <f t="shared" si="9"/>
        <v>50000</v>
      </c>
    </row>
    <row r="443" spans="1:6" x14ac:dyDescent="0.25">
      <c r="B443" t="s">
        <v>42</v>
      </c>
      <c r="C443">
        <v>10</v>
      </c>
      <c r="D443" t="s">
        <v>69</v>
      </c>
      <c r="E443" s="9">
        <v>23000</v>
      </c>
      <c r="F443" s="9">
        <f t="shared" si="9"/>
        <v>230000</v>
      </c>
    </row>
    <row r="444" spans="1:6" x14ac:dyDescent="0.25">
      <c r="B444" t="s">
        <v>98</v>
      </c>
      <c r="C444">
        <v>4</v>
      </c>
      <c r="D444" t="s">
        <v>69</v>
      </c>
      <c r="E444" s="9">
        <v>24000</v>
      </c>
      <c r="F444" s="9">
        <f t="shared" si="9"/>
        <v>96000</v>
      </c>
    </row>
    <row r="445" spans="1:6" x14ac:dyDescent="0.25">
      <c r="B445" t="s">
        <v>82</v>
      </c>
      <c r="C445">
        <v>88</v>
      </c>
      <c r="D445" t="s">
        <v>72</v>
      </c>
      <c r="E445" s="9">
        <v>23000</v>
      </c>
      <c r="F445" s="9">
        <f t="shared" si="9"/>
        <v>2024000</v>
      </c>
    </row>
    <row r="446" spans="1:6" x14ac:dyDescent="0.25">
      <c r="A446" s="8">
        <v>45129</v>
      </c>
      <c r="B446" t="s">
        <v>39</v>
      </c>
      <c r="C446">
        <v>15</v>
      </c>
      <c r="D446" t="s">
        <v>72</v>
      </c>
      <c r="E446" s="9">
        <v>22000</v>
      </c>
      <c r="F446" s="9">
        <f t="shared" si="9"/>
        <v>330000</v>
      </c>
    </row>
    <row r="447" spans="1:6" x14ac:dyDescent="0.25">
      <c r="A447" s="8">
        <v>45132</v>
      </c>
      <c r="B447" t="s">
        <v>42</v>
      </c>
      <c r="C447">
        <v>20</v>
      </c>
      <c r="D447" t="s">
        <v>69</v>
      </c>
      <c r="E447" s="9">
        <v>23000</v>
      </c>
      <c r="F447" s="9">
        <f t="shared" si="9"/>
        <v>460000</v>
      </c>
    </row>
    <row r="448" spans="1:6" x14ac:dyDescent="0.25">
      <c r="B448" t="s">
        <v>51</v>
      </c>
      <c r="C448">
        <v>10</v>
      </c>
      <c r="D448" t="s">
        <v>69</v>
      </c>
      <c r="E448" s="9">
        <v>23000</v>
      </c>
      <c r="F448" s="9">
        <f t="shared" si="9"/>
        <v>230000</v>
      </c>
    </row>
    <row r="449" spans="1:6" x14ac:dyDescent="0.25">
      <c r="B449" t="s">
        <v>111</v>
      </c>
      <c r="C449">
        <v>10</v>
      </c>
      <c r="D449" t="s">
        <v>69</v>
      </c>
      <c r="E449" s="9">
        <v>23000</v>
      </c>
      <c r="F449" s="9">
        <f t="shared" si="9"/>
        <v>230000</v>
      </c>
    </row>
    <row r="450" spans="1:6" x14ac:dyDescent="0.25">
      <c r="B450" t="s">
        <v>82</v>
      </c>
      <c r="C450">
        <v>101</v>
      </c>
      <c r="D450" t="s">
        <v>72</v>
      </c>
      <c r="E450" s="9">
        <v>22500</v>
      </c>
      <c r="F450" s="9">
        <f t="shared" si="9"/>
        <v>2272500</v>
      </c>
    </row>
    <row r="451" spans="1:6" x14ac:dyDescent="0.25">
      <c r="B451" t="s">
        <v>87</v>
      </c>
      <c r="C451">
        <v>6</v>
      </c>
      <c r="D451" t="s">
        <v>69</v>
      </c>
      <c r="E451" s="9">
        <v>24000</v>
      </c>
      <c r="F451" s="9">
        <f t="shared" si="9"/>
        <v>144000</v>
      </c>
    </row>
    <row r="452" spans="1:6" x14ac:dyDescent="0.25">
      <c r="A452" s="8">
        <v>45132</v>
      </c>
      <c r="B452" t="s">
        <v>39</v>
      </c>
      <c r="C452">
        <v>20</v>
      </c>
      <c r="D452" t="s">
        <v>72</v>
      </c>
      <c r="E452" s="9">
        <v>22000</v>
      </c>
      <c r="F452" s="9">
        <f t="shared" si="9"/>
        <v>440000</v>
      </c>
    </row>
    <row r="453" spans="1:6" x14ac:dyDescent="0.25">
      <c r="A453" s="8">
        <v>45133</v>
      </c>
      <c r="B453" t="s">
        <v>42</v>
      </c>
      <c r="C453">
        <v>20</v>
      </c>
      <c r="D453" t="s">
        <v>69</v>
      </c>
      <c r="E453" s="9">
        <v>23000</v>
      </c>
      <c r="F453" s="9">
        <f t="shared" si="9"/>
        <v>460000</v>
      </c>
    </row>
    <row r="454" spans="1:6" x14ac:dyDescent="0.25">
      <c r="B454" t="s">
        <v>112</v>
      </c>
      <c r="C454">
        <v>2</v>
      </c>
      <c r="D454" t="s">
        <v>69</v>
      </c>
      <c r="E454" s="9">
        <v>25000</v>
      </c>
      <c r="F454" s="9">
        <f t="shared" si="9"/>
        <v>50000</v>
      </c>
    </row>
    <row r="455" spans="1:6" x14ac:dyDescent="0.25">
      <c r="A455" s="8">
        <v>45134</v>
      </c>
      <c r="B455" t="s">
        <v>45</v>
      </c>
      <c r="C455">
        <v>2</v>
      </c>
      <c r="D455" t="s">
        <v>69</v>
      </c>
      <c r="E455" s="9">
        <v>25000</v>
      </c>
      <c r="F455" s="9">
        <f t="shared" si="9"/>
        <v>50000</v>
      </c>
    </row>
    <row r="456" spans="1:6" x14ac:dyDescent="0.25">
      <c r="B456" t="s">
        <v>42</v>
      </c>
      <c r="C456">
        <v>30</v>
      </c>
      <c r="D456" t="s">
        <v>69</v>
      </c>
      <c r="E456" s="9">
        <v>23000</v>
      </c>
      <c r="F456" s="9">
        <f t="shared" si="9"/>
        <v>690000</v>
      </c>
    </row>
    <row r="457" spans="1:6" x14ac:dyDescent="0.25">
      <c r="B457" t="s">
        <v>80</v>
      </c>
      <c r="C457">
        <v>15</v>
      </c>
      <c r="D457" t="s">
        <v>72</v>
      </c>
      <c r="E457" s="9">
        <v>24000</v>
      </c>
      <c r="F457" s="9">
        <f t="shared" si="9"/>
        <v>360000</v>
      </c>
    </row>
    <row r="458" spans="1:6" x14ac:dyDescent="0.25">
      <c r="B458" t="s">
        <v>111</v>
      </c>
      <c r="C458">
        <v>15</v>
      </c>
      <c r="D458" t="s">
        <v>69</v>
      </c>
      <c r="E458" s="9">
        <v>23000</v>
      </c>
      <c r="F458" s="9">
        <f t="shared" si="9"/>
        <v>345000</v>
      </c>
    </row>
    <row r="459" spans="1:6" x14ac:dyDescent="0.25">
      <c r="B459" t="s">
        <v>88</v>
      </c>
      <c r="C459">
        <v>5</v>
      </c>
      <c r="D459" t="s">
        <v>72</v>
      </c>
      <c r="E459" s="9">
        <v>24000</v>
      </c>
      <c r="F459" s="9">
        <f t="shared" si="9"/>
        <v>120000</v>
      </c>
    </row>
    <row r="460" spans="1:6" x14ac:dyDescent="0.25">
      <c r="A460" s="8">
        <v>45135</v>
      </c>
      <c r="B460" t="s">
        <v>89</v>
      </c>
      <c r="C460">
        <v>10</v>
      </c>
      <c r="D460" t="s">
        <v>72</v>
      </c>
      <c r="E460" s="9">
        <v>24000</v>
      </c>
      <c r="F460" s="9">
        <f t="shared" si="9"/>
        <v>240000</v>
      </c>
    </row>
    <row r="461" spans="1:6" x14ac:dyDescent="0.25">
      <c r="B461" t="s">
        <v>45</v>
      </c>
      <c r="C461">
        <v>2</v>
      </c>
      <c r="D461" t="s">
        <v>69</v>
      </c>
      <c r="E461" s="9">
        <v>25000</v>
      </c>
      <c r="F461" s="9">
        <f t="shared" si="9"/>
        <v>50000</v>
      </c>
    </row>
    <row r="462" spans="1:6" x14ac:dyDescent="0.25">
      <c r="B462" t="s">
        <v>85</v>
      </c>
      <c r="C462">
        <v>6</v>
      </c>
      <c r="D462" t="s">
        <v>69</v>
      </c>
      <c r="E462" s="9">
        <v>24000</v>
      </c>
      <c r="F462" s="9">
        <f t="shared" si="9"/>
        <v>144000</v>
      </c>
    </row>
    <row r="463" spans="1:6" x14ac:dyDescent="0.25">
      <c r="B463" t="s">
        <v>94</v>
      </c>
      <c r="C463">
        <v>3</v>
      </c>
      <c r="D463" t="s">
        <v>96</v>
      </c>
      <c r="E463" s="9">
        <v>25000</v>
      </c>
      <c r="F463" s="9">
        <f t="shared" si="9"/>
        <v>75000</v>
      </c>
    </row>
    <row r="464" spans="1:6" x14ac:dyDescent="0.25">
      <c r="B464" t="s">
        <v>82</v>
      </c>
      <c r="C464">
        <v>73</v>
      </c>
      <c r="D464" t="s">
        <v>72</v>
      </c>
      <c r="E464" s="9">
        <v>22500</v>
      </c>
      <c r="F464" s="9">
        <f t="shared" si="9"/>
        <v>1642500</v>
      </c>
    </row>
    <row r="465" spans="1:14" x14ac:dyDescent="0.25">
      <c r="B465" t="s">
        <v>45</v>
      </c>
      <c r="C465">
        <v>2</v>
      </c>
      <c r="D465" t="s">
        <v>69</v>
      </c>
      <c r="E465" s="9">
        <v>25000</v>
      </c>
      <c r="F465" s="9">
        <f t="shared" si="9"/>
        <v>50000</v>
      </c>
    </row>
    <row r="466" spans="1:14" x14ac:dyDescent="0.25">
      <c r="A466" s="8">
        <v>45136</v>
      </c>
      <c r="B466" t="s">
        <v>39</v>
      </c>
      <c r="C466">
        <v>28</v>
      </c>
      <c r="D466" t="s">
        <v>72</v>
      </c>
      <c r="E466" s="9">
        <v>22000</v>
      </c>
      <c r="F466" s="9">
        <f t="shared" si="9"/>
        <v>616000</v>
      </c>
    </row>
    <row r="467" spans="1:14" x14ac:dyDescent="0.25">
      <c r="B467" t="s">
        <v>45</v>
      </c>
      <c r="C467">
        <v>10</v>
      </c>
      <c r="D467" t="s">
        <v>69</v>
      </c>
      <c r="E467" s="9">
        <v>25000</v>
      </c>
      <c r="F467" s="9">
        <f t="shared" si="9"/>
        <v>250000</v>
      </c>
    </row>
    <row r="468" spans="1:14" x14ac:dyDescent="0.25">
      <c r="A468" s="8">
        <v>45136</v>
      </c>
      <c r="B468" t="s">
        <v>111</v>
      </c>
      <c r="C468">
        <v>15</v>
      </c>
      <c r="D468" t="s">
        <v>69</v>
      </c>
      <c r="E468" s="9">
        <v>23000</v>
      </c>
      <c r="F468" s="9">
        <f t="shared" si="9"/>
        <v>345000</v>
      </c>
    </row>
    <row r="469" spans="1:14" x14ac:dyDescent="0.25">
      <c r="A469" s="8">
        <v>45138</v>
      </c>
      <c r="B469" t="s">
        <v>112</v>
      </c>
      <c r="C469">
        <v>2</v>
      </c>
      <c r="D469" t="s">
        <v>69</v>
      </c>
      <c r="E469" s="9">
        <v>25000</v>
      </c>
      <c r="F469" s="9">
        <f t="shared" si="9"/>
        <v>50000</v>
      </c>
    </row>
    <row r="470" spans="1:14" x14ac:dyDescent="0.25">
      <c r="B470" t="s">
        <v>42</v>
      </c>
      <c r="C470">
        <v>23</v>
      </c>
      <c r="D470" t="s">
        <v>69</v>
      </c>
      <c r="E470" s="9">
        <v>23000</v>
      </c>
      <c r="F470" s="9">
        <f t="shared" si="9"/>
        <v>529000</v>
      </c>
    </row>
    <row r="471" spans="1:14" x14ac:dyDescent="0.25">
      <c r="B471" t="s">
        <v>77</v>
      </c>
      <c r="C471">
        <v>20</v>
      </c>
      <c r="D471" t="s">
        <v>72</v>
      </c>
      <c r="E471" s="9">
        <v>23000</v>
      </c>
      <c r="F471" s="9">
        <f t="shared" si="9"/>
        <v>460000</v>
      </c>
    </row>
    <row r="472" spans="1:14" x14ac:dyDescent="0.25">
      <c r="B472" t="s">
        <v>73</v>
      </c>
      <c r="C472">
        <v>5</v>
      </c>
      <c r="D472" t="s">
        <v>71</v>
      </c>
      <c r="E472" s="9">
        <v>20000</v>
      </c>
      <c r="F472" s="9">
        <f t="shared" si="9"/>
        <v>100000</v>
      </c>
    </row>
    <row r="473" spans="1:14" x14ac:dyDescent="0.25">
      <c r="B473" t="s">
        <v>76</v>
      </c>
      <c r="C473">
        <v>2</v>
      </c>
      <c r="D473" t="s">
        <v>69</v>
      </c>
      <c r="E473" s="9">
        <v>25000</v>
      </c>
      <c r="F473" s="9">
        <f t="shared" si="9"/>
        <v>50000</v>
      </c>
    </row>
    <row r="474" spans="1:14" x14ac:dyDescent="0.25">
      <c r="B474" t="s">
        <v>87</v>
      </c>
      <c r="C474">
        <v>6</v>
      </c>
      <c r="D474" t="s">
        <v>72</v>
      </c>
      <c r="E474" s="9">
        <v>24000</v>
      </c>
      <c r="F474" s="9">
        <f t="shared" si="9"/>
        <v>144000</v>
      </c>
    </row>
    <row r="475" spans="1:14" x14ac:dyDescent="0.25">
      <c r="A475" s="8">
        <v>45138</v>
      </c>
      <c r="B475" t="s">
        <v>39</v>
      </c>
      <c r="C475">
        <v>30</v>
      </c>
      <c r="D475" t="s">
        <v>72</v>
      </c>
      <c r="E475" s="9">
        <v>22000</v>
      </c>
      <c r="F475" s="9">
        <f t="shared" si="9"/>
        <v>660000</v>
      </c>
    </row>
    <row r="476" spans="1:14" s="30" customFormat="1" x14ac:dyDescent="0.25">
      <c r="A476" s="29">
        <v>45139</v>
      </c>
      <c r="B476" s="30" t="s">
        <v>51</v>
      </c>
      <c r="C476" s="30">
        <v>10</v>
      </c>
      <c r="D476" s="30" t="s">
        <v>69</v>
      </c>
      <c r="E476" s="31">
        <v>24000</v>
      </c>
      <c r="F476" s="31">
        <f t="shared" si="9"/>
        <v>240000</v>
      </c>
      <c r="G476" s="31">
        <f>+SUM(F476:F579)/SUM(C476:C579)</f>
        <v>22235.71024335031</v>
      </c>
      <c r="I476" s="36" t="s">
        <v>139</v>
      </c>
      <c r="J476" s="31">
        <v>29</v>
      </c>
      <c r="M476" s="31"/>
    </row>
    <row r="477" spans="1:14" x14ac:dyDescent="0.25">
      <c r="B477" t="s">
        <v>111</v>
      </c>
      <c r="C477">
        <v>10</v>
      </c>
      <c r="D477" t="s">
        <v>72</v>
      </c>
      <c r="E477" s="9">
        <v>23000</v>
      </c>
      <c r="F477" s="9">
        <f t="shared" si="9"/>
        <v>230000</v>
      </c>
      <c r="M477" s="9"/>
    </row>
    <row r="478" spans="1:14" x14ac:dyDescent="0.25">
      <c r="B478" t="s">
        <v>42</v>
      </c>
      <c r="C478">
        <v>20</v>
      </c>
      <c r="D478" t="s">
        <v>69</v>
      </c>
      <c r="E478" s="9">
        <v>23000</v>
      </c>
      <c r="F478" s="9">
        <f t="shared" si="9"/>
        <v>460000</v>
      </c>
      <c r="I478" s="40" t="s">
        <v>144</v>
      </c>
      <c r="J478" s="40"/>
      <c r="L478" s="40" t="s">
        <v>141</v>
      </c>
      <c r="M478" s="40"/>
    </row>
    <row r="479" spans="1:14" x14ac:dyDescent="0.25">
      <c r="B479" t="s">
        <v>82</v>
      </c>
      <c r="C479">
        <v>50</v>
      </c>
      <c r="D479" t="s">
        <v>72</v>
      </c>
      <c r="E479" s="9">
        <v>22500</v>
      </c>
      <c r="F479" s="9">
        <f t="shared" si="9"/>
        <v>1125000</v>
      </c>
      <c r="I479" t="s">
        <v>139</v>
      </c>
      <c r="J479" s="17">
        <f>60/100*9*M479*J476</f>
        <v>1174499.9999999998</v>
      </c>
      <c r="L479" t="s">
        <v>140</v>
      </c>
      <c r="M479" s="9">
        <v>7500</v>
      </c>
      <c r="N479" t="s">
        <v>146</v>
      </c>
    </row>
    <row r="480" spans="1:14" x14ac:dyDescent="0.25">
      <c r="B480" t="s">
        <v>86</v>
      </c>
      <c r="C480">
        <v>4</v>
      </c>
      <c r="D480" t="s">
        <v>96</v>
      </c>
      <c r="E480" s="9">
        <v>25000</v>
      </c>
      <c r="F480" s="9">
        <f t="shared" si="9"/>
        <v>100000</v>
      </c>
      <c r="I480" t="s">
        <v>48</v>
      </c>
      <c r="J480" s="9">
        <f>+SUM(C476:C579)*M480</f>
        <v>883500</v>
      </c>
      <c r="L480" t="s">
        <v>48</v>
      </c>
      <c r="M480" s="9">
        <v>500</v>
      </c>
      <c r="N480" t="s">
        <v>147</v>
      </c>
    </row>
    <row r="481" spans="1:14" x14ac:dyDescent="0.25">
      <c r="A481" s="8">
        <v>45140</v>
      </c>
      <c r="B481" t="s">
        <v>39</v>
      </c>
      <c r="C481">
        <v>20</v>
      </c>
      <c r="D481" t="s">
        <v>72</v>
      </c>
      <c r="E481" s="9">
        <v>22000</v>
      </c>
      <c r="F481" s="9">
        <f t="shared" si="9"/>
        <v>440000</v>
      </c>
      <c r="I481" t="s">
        <v>142</v>
      </c>
      <c r="J481" s="9">
        <f>9.5*31*M481</f>
        <v>18553500</v>
      </c>
      <c r="L481" t="s">
        <v>142</v>
      </c>
      <c r="M481" s="9">
        <v>63000</v>
      </c>
      <c r="N481" t="s">
        <v>148</v>
      </c>
    </row>
    <row r="482" spans="1:14" x14ac:dyDescent="0.25">
      <c r="B482" t="s">
        <v>45</v>
      </c>
      <c r="C482">
        <v>4</v>
      </c>
      <c r="D482" t="s">
        <v>69</v>
      </c>
      <c r="E482" s="9">
        <v>25000</v>
      </c>
      <c r="F482" s="9">
        <f t="shared" ref="F482:F545" si="10">+E482*C482</f>
        <v>100000</v>
      </c>
      <c r="I482" t="s">
        <v>145</v>
      </c>
      <c r="J482" s="9">
        <f>+M482*31</f>
        <v>1860000</v>
      </c>
      <c r="L482" t="s">
        <v>143</v>
      </c>
      <c r="M482" s="9">
        <v>60000</v>
      </c>
      <c r="N482" t="s">
        <v>149</v>
      </c>
    </row>
    <row r="483" spans="1:14" x14ac:dyDescent="0.25">
      <c r="A483" s="8">
        <v>45142</v>
      </c>
      <c r="B483" t="s">
        <v>42</v>
      </c>
      <c r="C483">
        <v>20</v>
      </c>
      <c r="D483" t="s">
        <v>69</v>
      </c>
      <c r="E483" s="9">
        <v>23000</v>
      </c>
      <c r="F483" s="9">
        <f t="shared" si="10"/>
        <v>460000</v>
      </c>
      <c r="I483" t="s">
        <v>150</v>
      </c>
      <c r="J483" s="9">
        <v>15000</v>
      </c>
      <c r="K483" s="27"/>
      <c r="M483" s="9"/>
    </row>
    <row r="484" spans="1:14" x14ac:dyDescent="0.25">
      <c r="B484" t="s">
        <v>82</v>
      </c>
      <c r="C484">
        <v>91</v>
      </c>
      <c r="D484" t="s">
        <v>69</v>
      </c>
      <c r="E484" s="9">
        <v>22500</v>
      </c>
      <c r="F484" s="9">
        <f t="shared" si="10"/>
        <v>2047500</v>
      </c>
      <c r="I484" t="s">
        <v>151</v>
      </c>
      <c r="J484" s="9">
        <v>150000</v>
      </c>
      <c r="M484" s="9"/>
    </row>
    <row r="485" spans="1:14" x14ac:dyDescent="0.25">
      <c r="B485" t="s">
        <v>94</v>
      </c>
      <c r="C485">
        <v>5</v>
      </c>
      <c r="D485" t="s">
        <v>96</v>
      </c>
      <c r="E485" s="9">
        <v>25000</v>
      </c>
      <c r="F485" s="9">
        <f t="shared" si="10"/>
        <v>125000</v>
      </c>
      <c r="I485" t="s">
        <v>152</v>
      </c>
      <c r="J485" s="9">
        <f>+SUM(J479:J484)</f>
        <v>22636500</v>
      </c>
      <c r="N485" s="9"/>
    </row>
    <row r="486" spans="1:14" x14ac:dyDescent="0.25">
      <c r="B486" t="s">
        <v>45</v>
      </c>
      <c r="C486">
        <v>3</v>
      </c>
      <c r="D486" t="s">
        <v>96</v>
      </c>
      <c r="E486" s="9">
        <v>25000</v>
      </c>
      <c r="F486" s="9">
        <f t="shared" si="10"/>
        <v>75000</v>
      </c>
      <c r="M486" s="9"/>
    </row>
    <row r="487" spans="1:14" x14ac:dyDescent="0.25">
      <c r="A487" s="8">
        <v>45145</v>
      </c>
      <c r="B487" t="s">
        <v>39</v>
      </c>
      <c r="C487">
        <v>30</v>
      </c>
      <c r="D487" t="s">
        <v>72</v>
      </c>
      <c r="E487" s="9">
        <v>22000</v>
      </c>
      <c r="F487" s="9">
        <f t="shared" si="10"/>
        <v>660000</v>
      </c>
      <c r="I487" t="s">
        <v>153</v>
      </c>
      <c r="J487" s="9">
        <f>+SUM(F476:F579)</f>
        <v>39290500</v>
      </c>
      <c r="M487" s="9"/>
    </row>
    <row r="488" spans="1:14" ht="15.75" thickBot="1" x14ac:dyDescent="0.3">
      <c r="A488" s="8">
        <v>45145</v>
      </c>
      <c r="B488" t="s">
        <v>51</v>
      </c>
      <c r="C488">
        <v>10</v>
      </c>
      <c r="D488" t="s">
        <v>69</v>
      </c>
      <c r="E488" s="9">
        <v>24000</v>
      </c>
      <c r="F488" s="9">
        <f t="shared" si="10"/>
        <v>240000</v>
      </c>
      <c r="M488" s="9"/>
    </row>
    <row r="489" spans="1:14" ht="15.75" thickBot="1" x14ac:dyDescent="0.3">
      <c r="B489" t="s">
        <v>111</v>
      </c>
      <c r="C489">
        <v>10</v>
      </c>
      <c r="D489" t="s">
        <v>72</v>
      </c>
      <c r="E489" s="9">
        <v>23000</v>
      </c>
      <c r="F489" s="9">
        <f t="shared" si="10"/>
        <v>230000</v>
      </c>
      <c r="I489" s="34" t="s">
        <v>155</v>
      </c>
      <c r="J489" s="35">
        <f>+J487-J485</f>
        <v>16654000</v>
      </c>
      <c r="M489" s="9"/>
    </row>
    <row r="490" spans="1:14" x14ac:dyDescent="0.25">
      <c r="B490" t="s">
        <v>42</v>
      </c>
      <c r="C490">
        <v>20</v>
      </c>
      <c r="D490" t="s">
        <v>69</v>
      </c>
      <c r="E490" s="9">
        <v>23000</v>
      </c>
      <c r="F490" s="9">
        <f t="shared" si="10"/>
        <v>460000</v>
      </c>
    </row>
    <row r="491" spans="1:14" x14ac:dyDescent="0.25">
      <c r="B491" t="s">
        <v>82</v>
      </c>
      <c r="C491">
        <v>60</v>
      </c>
      <c r="D491" t="s">
        <v>72</v>
      </c>
      <c r="E491" s="9">
        <v>22500</v>
      </c>
      <c r="F491" s="9">
        <f t="shared" si="10"/>
        <v>1350000</v>
      </c>
    </row>
    <row r="492" spans="1:14" x14ac:dyDescent="0.25">
      <c r="A492" s="8">
        <v>45146</v>
      </c>
      <c r="B492" t="s">
        <v>45</v>
      </c>
      <c r="C492">
        <v>4</v>
      </c>
      <c r="D492" t="s">
        <v>69</v>
      </c>
      <c r="E492" s="9">
        <v>25000</v>
      </c>
      <c r="F492" s="9">
        <f t="shared" si="10"/>
        <v>100000</v>
      </c>
    </row>
    <row r="493" spans="1:14" x14ac:dyDescent="0.25">
      <c r="B493" t="s">
        <v>87</v>
      </c>
      <c r="C493">
        <v>6</v>
      </c>
      <c r="D493" t="s">
        <v>72</v>
      </c>
      <c r="E493" s="9">
        <v>24000</v>
      </c>
      <c r="F493" s="9">
        <f t="shared" si="10"/>
        <v>144000</v>
      </c>
    </row>
    <row r="494" spans="1:14" x14ac:dyDescent="0.25">
      <c r="A494" s="8">
        <v>45147</v>
      </c>
      <c r="B494" t="s">
        <v>42</v>
      </c>
      <c r="C494">
        <v>20</v>
      </c>
      <c r="D494" t="s">
        <v>69</v>
      </c>
      <c r="E494" s="9">
        <v>23000</v>
      </c>
      <c r="F494" s="9">
        <f t="shared" si="10"/>
        <v>460000</v>
      </c>
    </row>
    <row r="495" spans="1:14" x14ac:dyDescent="0.25">
      <c r="B495" t="s">
        <v>111</v>
      </c>
      <c r="C495">
        <v>10</v>
      </c>
      <c r="D495" t="s">
        <v>72</v>
      </c>
      <c r="E495" s="9">
        <v>22500</v>
      </c>
      <c r="F495" s="9">
        <f t="shared" si="10"/>
        <v>225000</v>
      </c>
    </row>
    <row r="496" spans="1:14" x14ac:dyDescent="0.25">
      <c r="B496" t="s">
        <v>113</v>
      </c>
      <c r="C496">
        <v>3</v>
      </c>
      <c r="D496" t="s">
        <v>69</v>
      </c>
      <c r="E496" s="9">
        <v>25000</v>
      </c>
      <c r="F496" s="9">
        <f t="shared" si="10"/>
        <v>75000</v>
      </c>
    </row>
    <row r="497" spans="1:6" x14ac:dyDescent="0.25">
      <c r="B497" t="s">
        <v>82</v>
      </c>
      <c r="C497">
        <v>72</v>
      </c>
      <c r="D497" t="s">
        <v>72</v>
      </c>
      <c r="E497" s="9">
        <v>22500</v>
      </c>
      <c r="F497" s="9">
        <f t="shared" si="10"/>
        <v>1620000</v>
      </c>
    </row>
    <row r="498" spans="1:6" x14ac:dyDescent="0.25">
      <c r="A498" s="8">
        <v>45147</v>
      </c>
      <c r="B498" t="s">
        <v>39</v>
      </c>
      <c r="C498">
        <v>30</v>
      </c>
      <c r="D498" t="s">
        <v>72</v>
      </c>
      <c r="E498" s="9">
        <v>22000</v>
      </c>
      <c r="F498" s="9">
        <f t="shared" si="10"/>
        <v>660000</v>
      </c>
    </row>
    <row r="499" spans="1:6" x14ac:dyDescent="0.25">
      <c r="A499" s="8">
        <v>45148</v>
      </c>
      <c r="B499" t="s">
        <v>112</v>
      </c>
      <c r="C499">
        <v>2</v>
      </c>
      <c r="D499" t="s">
        <v>69</v>
      </c>
      <c r="E499" s="9">
        <v>25000</v>
      </c>
      <c r="F499" s="9">
        <f t="shared" si="10"/>
        <v>50000</v>
      </c>
    </row>
    <row r="500" spans="1:6" x14ac:dyDescent="0.25">
      <c r="B500" t="s">
        <v>80</v>
      </c>
      <c r="C500">
        <v>15</v>
      </c>
      <c r="D500" t="s">
        <v>69</v>
      </c>
      <c r="E500" s="9">
        <v>24000</v>
      </c>
      <c r="F500" s="9">
        <f t="shared" si="10"/>
        <v>360000</v>
      </c>
    </row>
    <row r="501" spans="1:6" x14ac:dyDescent="0.25">
      <c r="B501" t="s">
        <v>88</v>
      </c>
      <c r="C501">
        <v>5</v>
      </c>
      <c r="D501" t="s">
        <v>69</v>
      </c>
      <c r="E501" s="9">
        <v>24000</v>
      </c>
      <c r="F501" s="9">
        <f t="shared" si="10"/>
        <v>120000</v>
      </c>
    </row>
    <row r="502" spans="1:6" x14ac:dyDescent="0.25">
      <c r="A502" s="8">
        <v>45149</v>
      </c>
      <c r="B502" t="s">
        <v>42</v>
      </c>
      <c r="C502">
        <v>10</v>
      </c>
      <c r="D502" t="s">
        <v>69</v>
      </c>
      <c r="E502" s="9">
        <v>23000</v>
      </c>
      <c r="F502" s="9">
        <f t="shared" si="10"/>
        <v>230000</v>
      </c>
    </row>
    <row r="503" spans="1:6" x14ac:dyDescent="0.25">
      <c r="B503" t="s">
        <v>111</v>
      </c>
      <c r="C503">
        <v>10</v>
      </c>
      <c r="D503" t="s">
        <v>72</v>
      </c>
      <c r="E503" s="9">
        <v>22500</v>
      </c>
      <c r="F503" s="9">
        <f t="shared" si="10"/>
        <v>225000</v>
      </c>
    </row>
    <row r="504" spans="1:6" x14ac:dyDescent="0.25">
      <c r="B504" t="s">
        <v>82</v>
      </c>
      <c r="C504">
        <v>50</v>
      </c>
      <c r="D504" t="s">
        <v>72</v>
      </c>
      <c r="E504" s="9">
        <v>22500</v>
      </c>
      <c r="F504" s="9">
        <f t="shared" si="10"/>
        <v>1125000</v>
      </c>
    </row>
    <row r="505" spans="1:6" x14ac:dyDescent="0.25">
      <c r="B505" t="s">
        <v>74</v>
      </c>
      <c r="C505">
        <v>4</v>
      </c>
      <c r="D505" t="s">
        <v>69</v>
      </c>
      <c r="E505" s="9">
        <v>25000</v>
      </c>
      <c r="F505" s="9">
        <f t="shared" si="10"/>
        <v>100000</v>
      </c>
    </row>
    <row r="506" spans="1:6" x14ac:dyDescent="0.25">
      <c r="B506" t="s">
        <v>107</v>
      </c>
      <c r="C506">
        <v>2</v>
      </c>
      <c r="D506" t="s">
        <v>69</v>
      </c>
      <c r="E506" s="9">
        <v>25000</v>
      </c>
      <c r="F506" s="9">
        <f t="shared" si="10"/>
        <v>50000</v>
      </c>
    </row>
    <row r="507" spans="1:6" x14ac:dyDescent="0.25">
      <c r="B507" t="s">
        <v>45</v>
      </c>
      <c r="C507">
        <v>4</v>
      </c>
      <c r="D507" t="s">
        <v>69</v>
      </c>
      <c r="E507" s="9">
        <v>25000</v>
      </c>
      <c r="F507" s="9">
        <f t="shared" si="10"/>
        <v>100000</v>
      </c>
    </row>
    <row r="508" spans="1:6" x14ac:dyDescent="0.25">
      <c r="A508" s="8">
        <v>45150</v>
      </c>
      <c r="B508" t="s">
        <v>87</v>
      </c>
      <c r="C508">
        <v>6</v>
      </c>
      <c r="D508" t="s">
        <v>69</v>
      </c>
      <c r="E508" s="9">
        <v>24000</v>
      </c>
      <c r="F508" s="9">
        <f t="shared" si="10"/>
        <v>144000</v>
      </c>
    </row>
    <row r="509" spans="1:6" x14ac:dyDescent="0.25">
      <c r="B509" t="s">
        <v>100</v>
      </c>
      <c r="C509">
        <v>6</v>
      </c>
      <c r="D509" t="s">
        <v>96</v>
      </c>
      <c r="E509" s="9">
        <v>25000</v>
      </c>
      <c r="F509" s="9">
        <f t="shared" si="10"/>
        <v>150000</v>
      </c>
    </row>
    <row r="510" spans="1:6" x14ac:dyDescent="0.25">
      <c r="A510" s="8">
        <v>45152</v>
      </c>
      <c r="B510" t="s">
        <v>39</v>
      </c>
      <c r="C510">
        <v>35</v>
      </c>
      <c r="D510" t="s">
        <v>72</v>
      </c>
      <c r="E510" s="9">
        <v>22000</v>
      </c>
      <c r="F510" s="9">
        <f t="shared" si="10"/>
        <v>770000</v>
      </c>
    </row>
    <row r="511" spans="1:6" x14ac:dyDescent="0.25">
      <c r="B511" t="s">
        <v>89</v>
      </c>
      <c r="C511">
        <v>10</v>
      </c>
      <c r="D511" t="s">
        <v>69</v>
      </c>
      <c r="E511" s="9">
        <v>24000</v>
      </c>
      <c r="F511" s="9">
        <f t="shared" si="10"/>
        <v>240000</v>
      </c>
    </row>
    <row r="512" spans="1:6" x14ac:dyDescent="0.25">
      <c r="A512" s="8">
        <v>45152</v>
      </c>
      <c r="B512" t="s">
        <v>42</v>
      </c>
      <c r="C512">
        <v>20</v>
      </c>
      <c r="D512" t="s">
        <v>69</v>
      </c>
      <c r="E512" s="9">
        <v>23000</v>
      </c>
      <c r="F512" s="9">
        <f t="shared" si="10"/>
        <v>460000</v>
      </c>
    </row>
    <row r="513" spans="1:6" x14ac:dyDescent="0.25">
      <c r="B513" t="s">
        <v>111</v>
      </c>
      <c r="C513">
        <v>10</v>
      </c>
      <c r="D513" t="s">
        <v>72</v>
      </c>
      <c r="E513" s="9">
        <v>22000</v>
      </c>
      <c r="F513" s="9">
        <f t="shared" si="10"/>
        <v>220000</v>
      </c>
    </row>
    <row r="514" spans="1:6" x14ac:dyDescent="0.25">
      <c r="B514" t="s">
        <v>51</v>
      </c>
      <c r="C514">
        <v>10</v>
      </c>
      <c r="D514" t="s">
        <v>72</v>
      </c>
      <c r="E514" s="9">
        <v>22000</v>
      </c>
      <c r="F514" s="9">
        <f t="shared" si="10"/>
        <v>220000</v>
      </c>
    </row>
    <row r="515" spans="1:6" x14ac:dyDescent="0.25">
      <c r="B515" t="s">
        <v>51</v>
      </c>
      <c r="C515">
        <v>10</v>
      </c>
      <c r="D515" t="s">
        <v>69</v>
      </c>
      <c r="E515" s="9">
        <v>23000</v>
      </c>
      <c r="F515" s="9">
        <f t="shared" si="10"/>
        <v>230000</v>
      </c>
    </row>
    <row r="516" spans="1:6" x14ac:dyDescent="0.25">
      <c r="B516" t="s">
        <v>98</v>
      </c>
      <c r="C516">
        <v>8</v>
      </c>
      <c r="D516" t="s">
        <v>72</v>
      </c>
      <c r="E516" s="9">
        <v>22000</v>
      </c>
      <c r="F516" s="9">
        <f t="shared" si="10"/>
        <v>176000</v>
      </c>
    </row>
    <row r="517" spans="1:6" x14ac:dyDescent="0.25">
      <c r="B517" t="s">
        <v>99</v>
      </c>
      <c r="C517">
        <v>10</v>
      </c>
      <c r="D517" t="s">
        <v>72</v>
      </c>
      <c r="E517" s="9">
        <v>22000</v>
      </c>
      <c r="F517" s="9">
        <f t="shared" si="10"/>
        <v>220000</v>
      </c>
    </row>
    <row r="518" spans="1:6" x14ac:dyDescent="0.25">
      <c r="A518" s="8">
        <v>45154</v>
      </c>
      <c r="B518" t="s">
        <v>112</v>
      </c>
      <c r="C518">
        <v>2</v>
      </c>
      <c r="D518" t="s">
        <v>69</v>
      </c>
      <c r="E518" s="9">
        <v>25000</v>
      </c>
      <c r="F518" s="9">
        <f t="shared" si="10"/>
        <v>50000</v>
      </c>
    </row>
    <row r="519" spans="1:6" x14ac:dyDescent="0.25">
      <c r="B519" t="s">
        <v>111</v>
      </c>
      <c r="C519">
        <v>10</v>
      </c>
      <c r="D519" t="s">
        <v>72</v>
      </c>
      <c r="E519" s="9">
        <v>22000</v>
      </c>
      <c r="F519" s="9">
        <f t="shared" si="10"/>
        <v>220000</v>
      </c>
    </row>
    <row r="520" spans="1:6" x14ac:dyDescent="0.25">
      <c r="B520" t="s">
        <v>97</v>
      </c>
      <c r="C520">
        <v>5</v>
      </c>
      <c r="D520" t="s">
        <v>69</v>
      </c>
      <c r="E520" s="9">
        <v>23000</v>
      </c>
      <c r="F520" s="9">
        <f t="shared" si="10"/>
        <v>115000</v>
      </c>
    </row>
    <row r="521" spans="1:6" x14ac:dyDescent="0.25">
      <c r="B521" t="s">
        <v>42</v>
      </c>
      <c r="C521">
        <v>10</v>
      </c>
      <c r="D521" t="s">
        <v>69</v>
      </c>
      <c r="E521" s="9">
        <v>23000</v>
      </c>
      <c r="F521" s="9">
        <f t="shared" si="10"/>
        <v>230000</v>
      </c>
    </row>
    <row r="522" spans="1:6" x14ac:dyDescent="0.25">
      <c r="B522" t="s">
        <v>82</v>
      </c>
      <c r="C522">
        <v>50</v>
      </c>
      <c r="D522" t="s">
        <v>72</v>
      </c>
      <c r="E522" s="9">
        <v>22000</v>
      </c>
      <c r="F522" s="9">
        <f t="shared" si="10"/>
        <v>1100000</v>
      </c>
    </row>
    <row r="523" spans="1:6" x14ac:dyDescent="0.25">
      <c r="A523" s="8">
        <v>45155</v>
      </c>
      <c r="B523" t="s">
        <v>45</v>
      </c>
      <c r="C523">
        <v>3</v>
      </c>
      <c r="D523" t="s">
        <v>96</v>
      </c>
      <c r="E523" s="9">
        <v>25000</v>
      </c>
      <c r="F523" s="9">
        <f t="shared" si="10"/>
        <v>75000</v>
      </c>
    </row>
    <row r="524" spans="1:6" x14ac:dyDescent="0.25">
      <c r="B524" t="s">
        <v>89</v>
      </c>
      <c r="C524">
        <v>10</v>
      </c>
      <c r="D524" t="s">
        <v>69</v>
      </c>
      <c r="E524" s="9">
        <v>23000</v>
      </c>
      <c r="F524" s="9">
        <f t="shared" si="10"/>
        <v>230000</v>
      </c>
    </row>
    <row r="525" spans="1:6" x14ac:dyDescent="0.25">
      <c r="A525" s="8">
        <v>45156</v>
      </c>
      <c r="B525" t="s">
        <v>42</v>
      </c>
      <c r="C525">
        <v>10</v>
      </c>
      <c r="D525" t="s">
        <v>69</v>
      </c>
      <c r="E525" s="9">
        <v>23000</v>
      </c>
      <c r="F525" s="9">
        <f t="shared" si="10"/>
        <v>230000</v>
      </c>
    </row>
    <row r="526" spans="1:6" x14ac:dyDescent="0.25">
      <c r="B526" t="s">
        <v>51</v>
      </c>
      <c r="C526">
        <v>10</v>
      </c>
      <c r="D526" t="s">
        <v>72</v>
      </c>
      <c r="E526" s="9">
        <v>22000</v>
      </c>
      <c r="F526" s="9">
        <f t="shared" si="10"/>
        <v>220000</v>
      </c>
    </row>
    <row r="527" spans="1:6" x14ac:dyDescent="0.25">
      <c r="B527" t="s">
        <v>51</v>
      </c>
      <c r="C527">
        <v>10</v>
      </c>
      <c r="D527" t="s">
        <v>69</v>
      </c>
      <c r="E527" s="9">
        <v>23000</v>
      </c>
      <c r="F527" s="9">
        <f t="shared" si="10"/>
        <v>230000</v>
      </c>
    </row>
    <row r="528" spans="1:6" x14ac:dyDescent="0.25">
      <c r="B528" t="s">
        <v>111</v>
      </c>
      <c r="C528">
        <v>10</v>
      </c>
      <c r="D528" t="s">
        <v>72</v>
      </c>
      <c r="E528" s="9">
        <v>22000</v>
      </c>
      <c r="F528" s="9">
        <f t="shared" si="10"/>
        <v>220000</v>
      </c>
    </row>
    <row r="529" spans="1:6" x14ac:dyDescent="0.25">
      <c r="A529" s="8">
        <v>45156</v>
      </c>
      <c r="B529" t="s">
        <v>39</v>
      </c>
      <c r="C529">
        <v>30</v>
      </c>
      <c r="D529" t="s">
        <v>72</v>
      </c>
      <c r="E529" s="9">
        <v>22000</v>
      </c>
      <c r="F529" s="9">
        <f t="shared" si="10"/>
        <v>660000</v>
      </c>
    </row>
    <row r="530" spans="1:6" x14ac:dyDescent="0.25">
      <c r="A530" s="8">
        <v>45157</v>
      </c>
      <c r="B530" t="s">
        <v>85</v>
      </c>
      <c r="C530">
        <v>10</v>
      </c>
      <c r="D530" t="s">
        <v>69</v>
      </c>
      <c r="E530" s="9">
        <v>23000</v>
      </c>
      <c r="F530" s="9">
        <f t="shared" si="10"/>
        <v>230000</v>
      </c>
    </row>
    <row r="531" spans="1:6" x14ac:dyDescent="0.25">
      <c r="B531" t="s">
        <v>45</v>
      </c>
      <c r="C531">
        <v>7</v>
      </c>
      <c r="D531" t="s">
        <v>69</v>
      </c>
      <c r="E531" s="9">
        <v>25000</v>
      </c>
      <c r="F531" s="9">
        <f t="shared" si="10"/>
        <v>175000</v>
      </c>
    </row>
    <row r="532" spans="1:6" x14ac:dyDescent="0.25">
      <c r="B532" t="s">
        <v>111</v>
      </c>
      <c r="C532">
        <v>10</v>
      </c>
      <c r="D532" t="s">
        <v>72</v>
      </c>
      <c r="E532" s="9">
        <v>22000</v>
      </c>
      <c r="F532" s="9">
        <f t="shared" si="10"/>
        <v>220000</v>
      </c>
    </row>
    <row r="533" spans="1:6" x14ac:dyDescent="0.25">
      <c r="B533" t="s">
        <v>111</v>
      </c>
      <c r="C533">
        <v>10</v>
      </c>
      <c r="D533" t="s">
        <v>71</v>
      </c>
      <c r="E533" s="9">
        <v>21000</v>
      </c>
      <c r="F533" s="9">
        <f t="shared" si="10"/>
        <v>210000</v>
      </c>
    </row>
    <row r="534" spans="1:6" x14ac:dyDescent="0.25">
      <c r="B534" t="s">
        <v>51</v>
      </c>
      <c r="C534">
        <v>10</v>
      </c>
      <c r="D534" t="s">
        <v>72</v>
      </c>
      <c r="E534" s="9">
        <v>22000</v>
      </c>
      <c r="F534" s="9">
        <f t="shared" si="10"/>
        <v>220000</v>
      </c>
    </row>
    <row r="535" spans="1:6" x14ac:dyDescent="0.25">
      <c r="A535" s="8">
        <v>45158</v>
      </c>
      <c r="B535" t="s">
        <v>45</v>
      </c>
      <c r="C535">
        <v>2</v>
      </c>
      <c r="D535" t="s">
        <v>69</v>
      </c>
      <c r="E535" s="9">
        <v>50000</v>
      </c>
      <c r="F535" s="9">
        <f t="shared" si="10"/>
        <v>100000</v>
      </c>
    </row>
    <row r="536" spans="1:6" x14ac:dyDescent="0.25">
      <c r="B536" t="s">
        <v>39</v>
      </c>
      <c r="C536">
        <v>30</v>
      </c>
      <c r="D536" t="s">
        <v>72</v>
      </c>
      <c r="E536" s="9">
        <v>22000</v>
      </c>
      <c r="F536" s="9">
        <f t="shared" si="10"/>
        <v>660000</v>
      </c>
    </row>
    <row r="537" spans="1:6" x14ac:dyDescent="0.25">
      <c r="B537" t="s">
        <v>87</v>
      </c>
      <c r="C537">
        <v>6</v>
      </c>
      <c r="D537" t="s">
        <v>69</v>
      </c>
      <c r="E537" s="9">
        <v>23000</v>
      </c>
      <c r="F537" s="9">
        <f t="shared" si="10"/>
        <v>138000</v>
      </c>
    </row>
    <row r="538" spans="1:6" x14ac:dyDescent="0.25">
      <c r="A538" s="8">
        <v>45159</v>
      </c>
      <c r="B538" t="s">
        <v>111</v>
      </c>
      <c r="C538">
        <v>10</v>
      </c>
      <c r="D538" t="s">
        <v>72</v>
      </c>
      <c r="E538" s="9">
        <v>22000</v>
      </c>
      <c r="F538" s="9">
        <f t="shared" si="10"/>
        <v>220000</v>
      </c>
    </row>
    <row r="539" spans="1:6" x14ac:dyDescent="0.25">
      <c r="B539" t="s">
        <v>42</v>
      </c>
      <c r="C539">
        <v>20</v>
      </c>
      <c r="D539" t="s">
        <v>69</v>
      </c>
      <c r="E539" s="9">
        <v>23000</v>
      </c>
      <c r="F539" s="9">
        <f t="shared" si="10"/>
        <v>460000</v>
      </c>
    </row>
    <row r="540" spans="1:6" x14ac:dyDescent="0.25">
      <c r="B540" t="s">
        <v>51</v>
      </c>
      <c r="C540">
        <v>10</v>
      </c>
      <c r="D540" t="s">
        <v>69</v>
      </c>
      <c r="E540" s="9">
        <v>23000</v>
      </c>
      <c r="F540" s="9">
        <f t="shared" si="10"/>
        <v>230000</v>
      </c>
    </row>
    <row r="541" spans="1:6" x14ac:dyDescent="0.25">
      <c r="B541" t="s">
        <v>73</v>
      </c>
      <c r="C541">
        <v>5</v>
      </c>
      <c r="D541" t="s">
        <v>71</v>
      </c>
      <c r="E541" s="9">
        <v>20000</v>
      </c>
      <c r="F541" s="9">
        <f t="shared" si="10"/>
        <v>100000</v>
      </c>
    </row>
    <row r="542" spans="1:6" x14ac:dyDescent="0.25">
      <c r="B542" t="s">
        <v>99</v>
      </c>
      <c r="C542">
        <v>48</v>
      </c>
      <c r="D542" t="s">
        <v>72</v>
      </c>
      <c r="E542" s="9">
        <v>22000</v>
      </c>
      <c r="F542" s="9">
        <f t="shared" si="10"/>
        <v>1056000</v>
      </c>
    </row>
    <row r="543" spans="1:6" x14ac:dyDescent="0.25">
      <c r="B543" t="s">
        <v>99</v>
      </c>
      <c r="C543">
        <v>44</v>
      </c>
      <c r="D543" t="s">
        <v>69</v>
      </c>
      <c r="E543" s="9">
        <v>23000</v>
      </c>
      <c r="F543" s="9">
        <f t="shared" si="10"/>
        <v>1012000</v>
      </c>
    </row>
    <row r="544" spans="1:6" x14ac:dyDescent="0.25">
      <c r="B544" t="s">
        <v>114</v>
      </c>
      <c r="C544">
        <v>6</v>
      </c>
      <c r="D544" t="s">
        <v>69</v>
      </c>
      <c r="E544" s="9">
        <v>22500</v>
      </c>
      <c r="F544" s="9">
        <f t="shared" si="10"/>
        <v>135000</v>
      </c>
    </row>
    <row r="545" spans="1:6" x14ac:dyDescent="0.25">
      <c r="A545" s="8">
        <v>45161</v>
      </c>
      <c r="B545" t="s">
        <v>115</v>
      </c>
      <c r="C545">
        <v>4</v>
      </c>
      <c r="D545" t="s">
        <v>69</v>
      </c>
      <c r="E545" s="9">
        <v>25000</v>
      </c>
      <c r="F545" s="9">
        <f t="shared" si="10"/>
        <v>100000</v>
      </c>
    </row>
    <row r="546" spans="1:6" x14ac:dyDescent="0.25">
      <c r="B546" t="s">
        <v>111</v>
      </c>
      <c r="C546">
        <v>9</v>
      </c>
      <c r="D546" t="s">
        <v>71</v>
      </c>
      <c r="E546" s="9">
        <v>21000</v>
      </c>
      <c r="F546" s="9">
        <f t="shared" ref="F546:F609" si="11">+E546*C546</f>
        <v>189000</v>
      </c>
    </row>
    <row r="547" spans="1:6" x14ac:dyDescent="0.25">
      <c r="B547" t="s">
        <v>42</v>
      </c>
      <c r="C547">
        <v>10</v>
      </c>
      <c r="D547" t="s">
        <v>69</v>
      </c>
      <c r="E547" s="9">
        <v>23000</v>
      </c>
      <c r="F547" s="9">
        <f t="shared" si="11"/>
        <v>230000</v>
      </c>
    </row>
    <row r="548" spans="1:6" x14ac:dyDescent="0.25">
      <c r="B548" t="s">
        <v>45</v>
      </c>
      <c r="C548">
        <v>2</v>
      </c>
      <c r="D548" t="s">
        <v>69</v>
      </c>
      <c r="E548" s="9">
        <v>25000</v>
      </c>
      <c r="F548" s="9">
        <f t="shared" si="11"/>
        <v>50000</v>
      </c>
    </row>
    <row r="549" spans="1:6" x14ac:dyDescent="0.25">
      <c r="B549" t="s">
        <v>116</v>
      </c>
      <c r="C549">
        <v>10</v>
      </c>
      <c r="D549" t="s">
        <v>69</v>
      </c>
      <c r="E549" s="9">
        <v>22000</v>
      </c>
      <c r="F549" s="9">
        <f t="shared" si="11"/>
        <v>220000</v>
      </c>
    </row>
    <row r="550" spans="1:6" x14ac:dyDescent="0.25">
      <c r="B550" t="s">
        <v>86</v>
      </c>
      <c r="C550">
        <v>4</v>
      </c>
      <c r="D550" t="s">
        <v>69</v>
      </c>
      <c r="E550" s="9">
        <v>25000</v>
      </c>
      <c r="F550" s="9">
        <f t="shared" si="11"/>
        <v>100000</v>
      </c>
    </row>
    <row r="551" spans="1:6" x14ac:dyDescent="0.25">
      <c r="B551" t="s">
        <v>112</v>
      </c>
      <c r="C551">
        <v>2</v>
      </c>
      <c r="D551" t="s">
        <v>69</v>
      </c>
      <c r="E551" s="9">
        <v>25000</v>
      </c>
      <c r="F551" s="9">
        <f t="shared" si="11"/>
        <v>50000</v>
      </c>
    </row>
    <row r="552" spans="1:6" x14ac:dyDescent="0.25">
      <c r="C552">
        <v>23</v>
      </c>
      <c r="D552" t="s">
        <v>69</v>
      </c>
      <c r="E552" s="9">
        <v>23000</v>
      </c>
      <c r="F552" s="9">
        <f t="shared" si="11"/>
        <v>529000</v>
      </c>
    </row>
    <row r="553" spans="1:6" x14ac:dyDescent="0.25">
      <c r="C553">
        <v>21</v>
      </c>
      <c r="D553" t="s">
        <v>72</v>
      </c>
      <c r="E553" s="9">
        <v>22000</v>
      </c>
      <c r="F553" s="9">
        <f t="shared" si="11"/>
        <v>462000</v>
      </c>
    </row>
    <row r="554" spans="1:6" x14ac:dyDescent="0.25">
      <c r="A554" s="8">
        <v>45162</v>
      </c>
      <c r="B554" t="s">
        <v>39</v>
      </c>
      <c r="C554">
        <v>30</v>
      </c>
      <c r="D554" t="s">
        <v>72</v>
      </c>
      <c r="E554" s="9">
        <v>22000</v>
      </c>
      <c r="F554" s="9">
        <f t="shared" si="11"/>
        <v>660000</v>
      </c>
    </row>
    <row r="555" spans="1:6" x14ac:dyDescent="0.25">
      <c r="A555" s="8">
        <v>45163</v>
      </c>
      <c r="B555" t="s">
        <v>51</v>
      </c>
      <c r="C555">
        <v>15</v>
      </c>
      <c r="D555" t="s">
        <v>72</v>
      </c>
      <c r="E555" s="9">
        <v>21000</v>
      </c>
      <c r="F555" s="9">
        <f t="shared" si="11"/>
        <v>315000</v>
      </c>
    </row>
    <row r="556" spans="1:6" x14ac:dyDescent="0.25">
      <c r="B556" t="s">
        <v>111</v>
      </c>
      <c r="C556">
        <v>10</v>
      </c>
      <c r="D556" t="s">
        <v>72</v>
      </c>
      <c r="E556" s="9">
        <v>21000</v>
      </c>
      <c r="F556" s="9">
        <f t="shared" si="11"/>
        <v>210000</v>
      </c>
    </row>
    <row r="557" spans="1:6" x14ac:dyDescent="0.25">
      <c r="B557" t="s">
        <v>42</v>
      </c>
      <c r="C557">
        <v>20</v>
      </c>
      <c r="D557" t="s">
        <v>69</v>
      </c>
      <c r="E557" s="9">
        <v>23000</v>
      </c>
      <c r="F557" s="9">
        <f t="shared" si="11"/>
        <v>460000</v>
      </c>
    </row>
    <row r="558" spans="1:6" x14ac:dyDescent="0.25">
      <c r="B558" t="s">
        <v>117</v>
      </c>
      <c r="C558">
        <v>6</v>
      </c>
      <c r="D558" t="s">
        <v>69</v>
      </c>
      <c r="E558" s="9">
        <v>23000</v>
      </c>
      <c r="F558" s="9">
        <f t="shared" si="11"/>
        <v>138000</v>
      </c>
    </row>
    <row r="559" spans="1:6" x14ac:dyDescent="0.25">
      <c r="B559" t="s">
        <v>80</v>
      </c>
      <c r="C559">
        <v>15</v>
      </c>
      <c r="D559" t="s">
        <v>69</v>
      </c>
      <c r="E559" s="9">
        <v>24000</v>
      </c>
      <c r="F559" s="9">
        <f t="shared" si="11"/>
        <v>360000</v>
      </c>
    </row>
    <row r="560" spans="1:6" x14ac:dyDescent="0.25">
      <c r="A560" s="8">
        <v>45164</v>
      </c>
      <c r="B560" t="s">
        <v>82</v>
      </c>
      <c r="C560">
        <v>85</v>
      </c>
      <c r="D560" t="s">
        <v>72</v>
      </c>
      <c r="E560" s="9">
        <v>20500</v>
      </c>
      <c r="F560" s="9">
        <f t="shared" si="11"/>
        <v>1742500</v>
      </c>
    </row>
    <row r="561" spans="1:6" x14ac:dyDescent="0.25">
      <c r="A561" s="8">
        <v>45165</v>
      </c>
      <c r="B561" t="s">
        <v>87</v>
      </c>
      <c r="C561">
        <v>6</v>
      </c>
      <c r="D561" t="s">
        <v>69</v>
      </c>
      <c r="E561" s="9">
        <v>23000</v>
      </c>
      <c r="F561" s="9">
        <f t="shared" si="11"/>
        <v>138000</v>
      </c>
    </row>
    <row r="562" spans="1:6" x14ac:dyDescent="0.25">
      <c r="B562" t="s">
        <v>39</v>
      </c>
      <c r="C562">
        <v>35</v>
      </c>
      <c r="D562" t="s">
        <v>72</v>
      </c>
      <c r="E562" s="9">
        <v>21000</v>
      </c>
      <c r="F562" s="9">
        <f t="shared" si="11"/>
        <v>735000</v>
      </c>
    </row>
    <row r="563" spans="1:6" x14ac:dyDescent="0.25">
      <c r="A563" s="8">
        <v>45166</v>
      </c>
      <c r="B563" t="s">
        <v>117</v>
      </c>
      <c r="C563">
        <v>5</v>
      </c>
      <c r="D563" t="s">
        <v>69</v>
      </c>
      <c r="E563" s="9">
        <v>23000</v>
      </c>
      <c r="F563" s="9">
        <f t="shared" si="11"/>
        <v>115000</v>
      </c>
    </row>
    <row r="564" spans="1:6" x14ac:dyDescent="0.25">
      <c r="B564" t="s">
        <v>42</v>
      </c>
      <c r="C564">
        <v>19</v>
      </c>
      <c r="D564" t="s">
        <v>69</v>
      </c>
      <c r="E564" s="9">
        <v>22000</v>
      </c>
      <c r="F564" s="9">
        <f t="shared" si="11"/>
        <v>418000</v>
      </c>
    </row>
    <row r="565" spans="1:6" x14ac:dyDescent="0.25">
      <c r="B565" t="s">
        <v>88</v>
      </c>
      <c r="C565">
        <v>5</v>
      </c>
      <c r="D565" t="s">
        <v>69</v>
      </c>
      <c r="E565" s="9">
        <v>23000</v>
      </c>
      <c r="F565" s="9">
        <f t="shared" si="11"/>
        <v>115000</v>
      </c>
    </row>
    <row r="566" spans="1:6" x14ac:dyDescent="0.25">
      <c r="B566" t="s">
        <v>101</v>
      </c>
      <c r="C566">
        <v>15</v>
      </c>
      <c r="D566" t="s">
        <v>69</v>
      </c>
      <c r="E566" s="9">
        <v>22000</v>
      </c>
      <c r="F566" s="9">
        <f t="shared" si="11"/>
        <v>330000</v>
      </c>
    </row>
    <row r="567" spans="1:6" x14ac:dyDescent="0.25">
      <c r="B567" t="s">
        <v>45</v>
      </c>
      <c r="C567">
        <v>2</v>
      </c>
      <c r="D567" t="s">
        <v>96</v>
      </c>
      <c r="E567" s="9">
        <v>25000</v>
      </c>
      <c r="F567" s="9">
        <f t="shared" si="11"/>
        <v>50000</v>
      </c>
    </row>
    <row r="568" spans="1:6" x14ac:dyDescent="0.25">
      <c r="B568" t="s">
        <v>83</v>
      </c>
      <c r="C568">
        <v>90</v>
      </c>
      <c r="D568" t="s">
        <v>72</v>
      </c>
      <c r="E568" s="9">
        <v>20500</v>
      </c>
      <c r="F568" s="9">
        <f t="shared" si="11"/>
        <v>1845000</v>
      </c>
    </row>
    <row r="569" spans="1:6" x14ac:dyDescent="0.25">
      <c r="A569" s="8">
        <v>45168</v>
      </c>
      <c r="B569" t="s">
        <v>64</v>
      </c>
      <c r="C569">
        <v>3</v>
      </c>
      <c r="D569" t="s">
        <v>69</v>
      </c>
      <c r="E569" s="9">
        <v>23000</v>
      </c>
      <c r="F569" s="9">
        <f t="shared" si="11"/>
        <v>69000</v>
      </c>
    </row>
    <row r="570" spans="1:6" x14ac:dyDescent="0.25">
      <c r="B570" t="s">
        <v>45</v>
      </c>
      <c r="C570">
        <v>3</v>
      </c>
      <c r="D570" t="s">
        <v>69</v>
      </c>
      <c r="E570" s="9">
        <v>25000</v>
      </c>
      <c r="F570" s="9">
        <f t="shared" si="11"/>
        <v>75000</v>
      </c>
    </row>
    <row r="571" spans="1:6" x14ac:dyDescent="0.25">
      <c r="B571" t="s">
        <v>117</v>
      </c>
      <c r="C571">
        <v>3</v>
      </c>
      <c r="D571" t="s">
        <v>69</v>
      </c>
      <c r="E571" s="9">
        <v>23000</v>
      </c>
      <c r="F571" s="9">
        <f t="shared" si="11"/>
        <v>69000</v>
      </c>
    </row>
    <row r="572" spans="1:6" x14ac:dyDescent="0.25">
      <c r="B572" t="s">
        <v>42</v>
      </c>
      <c r="C572">
        <v>20</v>
      </c>
      <c r="D572" t="s">
        <v>69</v>
      </c>
      <c r="E572" s="9">
        <v>22000</v>
      </c>
      <c r="F572" s="9">
        <f t="shared" si="11"/>
        <v>440000</v>
      </c>
    </row>
    <row r="573" spans="1:6" x14ac:dyDescent="0.25">
      <c r="B573" t="s">
        <v>73</v>
      </c>
      <c r="C573">
        <v>20</v>
      </c>
      <c r="D573" t="s">
        <v>71</v>
      </c>
      <c r="E573" s="9">
        <v>20000</v>
      </c>
      <c r="F573" s="9">
        <f t="shared" si="11"/>
        <v>400000</v>
      </c>
    </row>
    <row r="574" spans="1:6" x14ac:dyDescent="0.25">
      <c r="A574" s="8">
        <v>45168</v>
      </c>
      <c r="B574" t="s">
        <v>39</v>
      </c>
      <c r="C574">
        <v>24</v>
      </c>
      <c r="D574" t="s">
        <v>72</v>
      </c>
      <c r="E574" s="9">
        <v>21000</v>
      </c>
      <c r="F574" s="9">
        <f t="shared" si="11"/>
        <v>504000</v>
      </c>
    </row>
    <row r="575" spans="1:6" x14ac:dyDescent="0.25">
      <c r="A575" s="8">
        <v>45169</v>
      </c>
      <c r="B575" t="s">
        <v>98</v>
      </c>
      <c r="C575">
        <v>10</v>
      </c>
      <c r="D575" t="s">
        <v>72</v>
      </c>
      <c r="E575" s="9">
        <v>22000</v>
      </c>
      <c r="F575" s="9">
        <f t="shared" si="11"/>
        <v>220000</v>
      </c>
    </row>
    <row r="576" spans="1:6" x14ac:dyDescent="0.25">
      <c r="B576" t="s">
        <v>42</v>
      </c>
      <c r="C576">
        <v>15</v>
      </c>
      <c r="D576" t="s">
        <v>69</v>
      </c>
      <c r="E576" s="9">
        <v>22000</v>
      </c>
      <c r="F576" s="9">
        <f t="shared" si="11"/>
        <v>330000</v>
      </c>
    </row>
    <row r="577" spans="1:14" x14ac:dyDescent="0.25">
      <c r="B577" t="s">
        <v>87</v>
      </c>
      <c r="C577">
        <v>6</v>
      </c>
      <c r="D577" t="s">
        <v>69</v>
      </c>
      <c r="E577" s="9">
        <v>23000</v>
      </c>
      <c r="F577" s="9">
        <f t="shared" si="11"/>
        <v>138000</v>
      </c>
    </row>
    <row r="578" spans="1:14" x14ac:dyDescent="0.25">
      <c r="B578" t="s">
        <v>82</v>
      </c>
      <c r="C578">
        <v>83</v>
      </c>
      <c r="D578" t="s">
        <v>72</v>
      </c>
      <c r="E578" s="9">
        <v>20500</v>
      </c>
      <c r="F578" s="9">
        <f t="shared" si="11"/>
        <v>1701500</v>
      </c>
    </row>
    <row r="579" spans="1:14" x14ac:dyDescent="0.25">
      <c r="B579" t="s">
        <v>118</v>
      </c>
      <c r="C579">
        <v>10</v>
      </c>
      <c r="D579" t="s">
        <v>72</v>
      </c>
      <c r="E579" s="9">
        <v>22000</v>
      </c>
      <c r="F579" s="9">
        <f t="shared" si="11"/>
        <v>220000</v>
      </c>
    </row>
    <row r="580" spans="1:14" s="30" customFormat="1" x14ac:dyDescent="0.25">
      <c r="A580" s="29">
        <v>45171</v>
      </c>
      <c r="B580" s="30" t="s">
        <v>42</v>
      </c>
      <c r="C580" s="30">
        <v>10</v>
      </c>
      <c r="D580" s="30" t="s">
        <v>69</v>
      </c>
      <c r="E580" s="31">
        <v>22000</v>
      </c>
      <c r="F580" s="31">
        <f t="shared" si="11"/>
        <v>220000</v>
      </c>
      <c r="G580" s="31">
        <f>+SUM(F580:F667)/SUM(C580:C667)</f>
        <v>20925.844346549191</v>
      </c>
      <c r="I580" s="36" t="s">
        <v>139</v>
      </c>
      <c r="J580" s="31">
        <v>26</v>
      </c>
      <c r="M580" s="31"/>
    </row>
    <row r="581" spans="1:14" x14ac:dyDescent="0.25">
      <c r="B581" t="s">
        <v>101</v>
      </c>
      <c r="C581">
        <v>10</v>
      </c>
      <c r="D581" t="s">
        <v>69</v>
      </c>
      <c r="E581" s="9">
        <v>22000</v>
      </c>
      <c r="F581" s="9">
        <f t="shared" si="11"/>
        <v>220000</v>
      </c>
      <c r="M581" s="9"/>
    </row>
    <row r="582" spans="1:14" x14ac:dyDescent="0.25">
      <c r="A582" s="8">
        <v>45173</v>
      </c>
      <c r="B582" t="s">
        <v>119</v>
      </c>
      <c r="C582">
        <v>6</v>
      </c>
      <c r="D582" t="s">
        <v>69</v>
      </c>
      <c r="E582" s="9">
        <v>23000</v>
      </c>
      <c r="F582" s="9">
        <f t="shared" si="11"/>
        <v>138000</v>
      </c>
      <c r="I582" s="40" t="s">
        <v>144</v>
      </c>
      <c r="J582" s="40"/>
      <c r="L582" s="40" t="s">
        <v>141</v>
      </c>
      <c r="M582" s="40"/>
    </row>
    <row r="583" spans="1:14" x14ac:dyDescent="0.25">
      <c r="B583" t="s">
        <v>119</v>
      </c>
      <c r="C583">
        <v>5</v>
      </c>
      <c r="D583" t="s">
        <v>69</v>
      </c>
      <c r="E583" s="9">
        <v>23000</v>
      </c>
      <c r="F583" s="9">
        <f t="shared" si="11"/>
        <v>115000</v>
      </c>
      <c r="I583" t="s">
        <v>139</v>
      </c>
      <c r="J583" s="17">
        <f>60/100*9*M583*J580</f>
        <v>1052999.9999999998</v>
      </c>
      <c r="L583" t="s">
        <v>140</v>
      </c>
      <c r="M583" s="9">
        <v>7500</v>
      </c>
      <c r="N583" t="s">
        <v>146</v>
      </c>
    </row>
    <row r="584" spans="1:14" x14ac:dyDescent="0.25">
      <c r="B584" t="s">
        <v>117</v>
      </c>
      <c r="C584">
        <v>5</v>
      </c>
      <c r="D584" t="s">
        <v>69</v>
      </c>
      <c r="E584" s="9">
        <v>23000</v>
      </c>
      <c r="F584" s="9">
        <f t="shared" si="11"/>
        <v>115000</v>
      </c>
      <c r="I584" t="s">
        <v>48</v>
      </c>
      <c r="J584" s="9">
        <f>+SUM(C580:C667)*M584</f>
        <v>681000</v>
      </c>
      <c r="L584" t="s">
        <v>48</v>
      </c>
      <c r="M584" s="9">
        <v>500</v>
      </c>
      <c r="N584" t="s">
        <v>147</v>
      </c>
    </row>
    <row r="585" spans="1:14" x14ac:dyDescent="0.25">
      <c r="B585" t="s">
        <v>88</v>
      </c>
      <c r="C585">
        <v>5</v>
      </c>
      <c r="D585" t="s">
        <v>69</v>
      </c>
      <c r="E585" s="9">
        <v>23000</v>
      </c>
      <c r="F585" s="9">
        <f t="shared" si="11"/>
        <v>115000</v>
      </c>
      <c r="I585" t="s">
        <v>142</v>
      </c>
      <c r="J585" s="9">
        <f>9*30*M585</f>
        <v>17010000</v>
      </c>
      <c r="L585" t="s">
        <v>142</v>
      </c>
      <c r="M585" s="9">
        <v>63000</v>
      </c>
      <c r="N585" t="s">
        <v>148</v>
      </c>
    </row>
    <row r="586" spans="1:14" x14ac:dyDescent="0.25">
      <c r="B586" t="s">
        <v>42</v>
      </c>
      <c r="C586">
        <v>20</v>
      </c>
      <c r="D586" t="s">
        <v>69</v>
      </c>
      <c r="E586" s="9">
        <v>22000</v>
      </c>
      <c r="F586" s="9">
        <f t="shared" si="11"/>
        <v>440000</v>
      </c>
      <c r="I586" t="s">
        <v>145</v>
      </c>
      <c r="J586" s="9">
        <f>+M586*30</f>
        <v>1800000</v>
      </c>
      <c r="L586" t="s">
        <v>143</v>
      </c>
      <c r="M586" s="9">
        <v>60000</v>
      </c>
      <c r="N586" t="s">
        <v>149</v>
      </c>
    </row>
    <row r="587" spans="1:14" x14ac:dyDescent="0.25">
      <c r="B587" t="s">
        <v>116</v>
      </c>
      <c r="C587">
        <v>10</v>
      </c>
      <c r="D587" t="s">
        <v>69</v>
      </c>
      <c r="E587" s="9">
        <v>22000</v>
      </c>
      <c r="F587" s="9">
        <f t="shared" si="11"/>
        <v>220000</v>
      </c>
      <c r="I587" t="s">
        <v>150</v>
      </c>
      <c r="J587" s="9">
        <v>15000</v>
      </c>
      <c r="K587" s="27"/>
      <c r="M587" s="9"/>
    </row>
    <row r="588" spans="1:14" x14ac:dyDescent="0.25">
      <c r="C588">
        <v>1</v>
      </c>
      <c r="D588" t="s">
        <v>69</v>
      </c>
      <c r="E588" s="9">
        <v>23000</v>
      </c>
      <c r="F588" s="9">
        <f t="shared" si="11"/>
        <v>23000</v>
      </c>
      <c r="I588" t="s">
        <v>151</v>
      </c>
      <c r="J588" s="9">
        <v>150000</v>
      </c>
      <c r="M588" s="9"/>
    </row>
    <row r="589" spans="1:14" x14ac:dyDescent="0.25">
      <c r="B589" t="s">
        <v>83</v>
      </c>
      <c r="C589">
        <v>100</v>
      </c>
      <c r="D589" t="s">
        <v>72</v>
      </c>
      <c r="E589" s="9">
        <v>20500</v>
      </c>
      <c r="F589" s="9">
        <f t="shared" si="11"/>
        <v>2050000</v>
      </c>
      <c r="I589" t="s">
        <v>152</v>
      </c>
      <c r="J589" s="9">
        <f>+SUM(J583:J588)</f>
        <v>20709000</v>
      </c>
      <c r="N589" s="9"/>
    </row>
    <row r="590" spans="1:14" x14ac:dyDescent="0.25">
      <c r="A590" s="8">
        <v>45174</v>
      </c>
      <c r="B590" t="s">
        <v>45</v>
      </c>
      <c r="C590">
        <v>2</v>
      </c>
      <c r="D590" t="s">
        <v>96</v>
      </c>
      <c r="E590" s="9">
        <v>25000</v>
      </c>
      <c r="F590" s="9">
        <f t="shared" si="11"/>
        <v>50000</v>
      </c>
      <c r="M590" s="9"/>
    </row>
    <row r="591" spans="1:14" x14ac:dyDescent="0.25">
      <c r="A591" s="8">
        <v>45175</v>
      </c>
      <c r="B591" t="s">
        <v>39</v>
      </c>
      <c r="C591">
        <v>40</v>
      </c>
      <c r="D591" t="s">
        <v>72</v>
      </c>
      <c r="E591" s="9">
        <v>21000</v>
      </c>
      <c r="F591" s="9">
        <f t="shared" si="11"/>
        <v>840000</v>
      </c>
      <c r="I591" t="s">
        <v>153</v>
      </c>
      <c r="J591" s="9">
        <f>+SUM(F580:F667)</f>
        <v>28501000</v>
      </c>
      <c r="M591" s="9"/>
    </row>
    <row r="592" spans="1:14" ht="15.75" thickBot="1" x14ac:dyDescent="0.3">
      <c r="B592" t="s">
        <v>39</v>
      </c>
      <c r="C592">
        <v>25</v>
      </c>
      <c r="D592" t="s">
        <v>72</v>
      </c>
      <c r="E592" s="9">
        <v>21000</v>
      </c>
      <c r="F592" s="9">
        <f t="shared" si="11"/>
        <v>525000</v>
      </c>
      <c r="M592" s="9"/>
    </row>
    <row r="593" spans="1:13" ht="15.75" thickBot="1" x14ac:dyDescent="0.3">
      <c r="A593" s="8">
        <v>45176</v>
      </c>
      <c r="B593" t="s">
        <v>117</v>
      </c>
      <c r="C593">
        <v>5</v>
      </c>
      <c r="D593" t="s">
        <v>69</v>
      </c>
      <c r="E593" s="9">
        <v>23000</v>
      </c>
      <c r="F593" s="9">
        <f t="shared" si="11"/>
        <v>115000</v>
      </c>
      <c r="I593" s="34" t="s">
        <v>155</v>
      </c>
      <c r="J593" s="35">
        <f>+J591-J589</f>
        <v>7792000</v>
      </c>
      <c r="M593" s="9"/>
    </row>
    <row r="594" spans="1:13" x14ac:dyDescent="0.25">
      <c r="B594" t="s">
        <v>82</v>
      </c>
      <c r="C594">
        <v>74</v>
      </c>
      <c r="D594" t="s">
        <v>72</v>
      </c>
      <c r="E594" s="9">
        <v>20500</v>
      </c>
      <c r="F594" s="9">
        <f t="shared" si="11"/>
        <v>1517000</v>
      </c>
    </row>
    <row r="595" spans="1:13" x14ac:dyDescent="0.25">
      <c r="B595" t="s">
        <v>42</v>
      </c>
      <c r="C595">
        <v>20</v>
      </c>
      <c r="D595" t="s">
        <v>69</v>
      </c>
      <c r="E595" s="9">
        <v>22000</v>
      </c>
      <c r="F595" s="9">
        <f t="shared" si="11"/>
        <v>440000</v>
      </c>
    </row>
    <row r="596" spans="1:13" x14ac:dyDescent="0.25">
      <c r="B596" t="s">
        <v>89</v>
      </c>
      <c r="C596">
        <v>10</v>
      </c>
      <c r="D596" t="s">
        <v>69</v>
      </c>
      <c r="E596" s="9">
        <v>23000</v>
      </c>
      <c r="F596" s="9">
        <f t="shared" si="11"/>
        <v>230000</v>
      </c>
    </row>
    <row r="597" spans="1:13" x14ac:dyDescent="0.25">
      <c r="A597" s="8">
        <v>45177</v>
      </c>
      <c r="B597" t="s">
        <v>101</v>
      </c>
      <c r="C597">
        <v>15</v>
      </c>
      <c r="D597" t="s">
        <v>69</v>
      </c>
      <c r="E597" s="9">
        <v>22000</v>
      </c>
      <c r="F597" s="9">
        <f t="shared" si="11"/>
        <v>330000</v>
      </c>
    </row>
    <row r="598" spans="1:13" x14ac:dyDescent="0.25">
      <c r="B598" t="s">
        <v>83</v>
      </c>
      <c r="C598">
        <v>80</v>
      </c>
      <c r="D598" t="s">
        <v>72</v>
      </c>
      <c r="E598" s="9">
        <v>20500</v>
      </c>
      <c r="F598" s="9">
        <f t="shared" si="11"/>
        <v>1640000</v>
      </c>
    </row>
    <row r="599" spans="1:13" x14ac:dyDescent="0.25">
      <c r="A599" s="8">
        <v>45178</v>
      </c>
      <c r="B599" t="s">
        <v>85</v>
      </c>
      <c r="C599">
        <v>10</v>
      </c>
      <c r="D599" t="s">
        <v>69</v>
      </c>
      <c r="E599" s="9">
        <v>22000</v>
      </c>
      <c r="F599" s="9">
        <f t="shared" si="11"/>
        <v>220000</v>
      </c>
    </row>
    <row r="600" spans="1:13" x14ac:dyDescent="0.25">
      <c r="B600" t="s">
        <v>120</v>
      </c>
      <c r="C600">
        <v>2</v>
      </c>
      <c r="D600" t="s">
        <v>96</v>
      </c>
      <c r="E600" s="9">
        <v>25000</v>
      </c>
      <c r="F600" s="9">
        <f t="shared" si="11"/>
        <v>50000</v>
      </c>
    </row>
    <row r="601" spans="1:13" x14ac:dyDescent="0.25">
      <c r="B601" t="s">
        <v>87</v>
      </c>
      <c r="C601">
        <v>6</v>
      </c>
      <c r="D601" t="s">
        <v>69</v>
      </c>
      <c r="E601" s="9">
        <v>23000</v>
      </c>
      <c r="F601" s="9">
        <f t="shared" si="11"/>
        <v>138000</v>
      </c>
    </row>
    <row r="602" spans="1:13" x14ac:dyDescent="0.25">
      <c r="A602" s="8">
        <v>45180</v>
      </c>
      <c r="B602" t="s">
        <v>42</v>
      </c>
      <c r="C602">
        <v>20</v>
      </c>
      <c r="D602" t="s">
        <v>69</v>
      </c>
      <c r="E602" s="9">
        <v>22000</v>
      </c>
      <c r="F602" s="9">
        <f t="shared" si="11"/>
        <v>440000</v>
      </c>
    </row>
    <row r="603" spans="1:13" x14ac:dyDescent="0.25">
      <c r="B603" t="s">
        <v>101</v>
      </c>
      <c r="C603">
        <v>10</v>
      </c>
      <c r="D603" t="s">
        <v>69</v>
      </c>
      <c r="E603" s="9">
        <v>22000</v>
      </c>
      <c r="F603" s="9">
        <f t="shared" si="11"/>
        <v>220000</v>
      </c>
    </row>
    <row r="604" spans="1:13" x14ac:dyDescent="0.25">
      <c r="A604" s="8">
        <v>45181</v>
      </c>
      <c r="B604" t="s">
        <v>117</v>
      </c>
      <c r="C604">
        <v>5</v>
      </c>
      <c r="D604" t="s">
        <v>69</v>
      </c>
      <c r="E604" s="9">
        <v>23000</v>
      </c>
      <c r="F604" s="9">
        <f t="shared" si="11"/>
        <v>115000</v>
      </c>
    </row>
    <row r="605" spans="1:13" x14ac:dyDescent="0.25">
      <c r="B605" t="s">
        <v>86</v>
      </c>
      <c r="C605">
        <v>5</v>
      </c>
      <c r="D605" t="s">
        <v>69</v>
      </c>
      <c r="E605" s="9">
        <v>25000</v>
      </c>
      <c r="F605" s="9">
        <f t="shared" si="11"/>
        <v>125000</v>
      </c>
    </row>
    <row r="606" spans="1:13" x14ac:dyDescent="0.25">
      <c r="A606" s="8">
        <v>45182</v>
      </c>
      <c r="B606" t="s">
        <v>119</v>
      </c>
      <c r="C606">
        <v>5</v>
      </c>
      <c r="D606" t="s">
        <v>69</v>
      </c>
      <c r="E606" s="9">
        <v>23000</v>
      </c>
      <c r="F606" s="9">
        <f t="shared" si="11"/>
        <v>115000</v>
      </c>
    </row>
    <row r="607" spans="1:13" x14ac:dyDescent="0.25">
      <c r="B607" t="s">
        <v>42</v>
      </c>
      <c r="C607">
        <v>15</v>
      </c>
      <c r="D607" t="s">
        <v>69</v>
      </c>
      <c r="E607" s="9">
        <v>22000</v>
      </c>
      <c r="F607" s="9">
        <f t="shared" si="11"/>
        <v>330000</v>
      </c>
    </row>
    <row r="608" spans="1:13" x14ac:dyDescent="0.25">
      <c r="B608" t="s">
        <v>116</v>
      </c>
      <c r="C608">
        <v>10</v>
      </c>
      <c r="D608" t="s">
        <v>69</v>
      </c>
      <c r="E608" s="9">
        <v>22000</v>
      </c>
      <c r="F608" s="9">
        <f t="shared" si="11"/>
        <v>220000</v>
      </c>
    </row>
    <row r="609" spans="1:6" x14ac:dyDescent="0.25">
      <c r="B609" t="s">
        <v>82</v>
      </c>
      <c r="C609">
        <v>80</v>
      </c>
      <c r="D609" t="s">
        <v>72</v>
      </c>
      <c r="E609" s="9">
        <v>20000</v>
      </c>
      <c r="F609" s="9">
        <f t="shared" si="11"/>
        <v>1600000</v>
      </c>
    </row>
    <row r="610" spans="1:6" x14ac:dyDescent="0.25">
      <c r="A610" s="8">
        <v>45182</v>
      </c>
      <c r="B610" t="s">
        <v>39</v>
      </c>
      <c r="C610">
        <v>20</v>
      </c>
      <c r="D610" t="s">
        <v>72</v>
      </c>
      <c r="E610" s="9">
        <v>20000</v>
      </c>
      <c r="F610" s="9">
        <f t="shared" ref="F610:F673" si="12">+E610*C610</f>
        <v>400000</v>
      </c>
    </row>
    <row r="611" spans="1:6" x14ac:dyDescent="0.25">
      <c r="A611" s="8">
        <v>45183</v>
      </c>
      <c r="B611" t="s">
        <v>45</v>
      </c>
      <c r="C611">
        <v>4</v>
      </c>
      <c r="D611" t="s">
        <v>71</v>
      </c>
      <c r="E611" s="9">
        <v>20000</v>
      </c>
      <c r="F611" s="9">
        <f t="shared" si="12"/>
        <v>80000</v>
      </c>
    </row>
    <row r="612" spans="1:6" x14ac:dyDescent="0.25">
      <c r="C612">
        <v>2</v>
      </c>
      <c r="D612" t="s">
        <v>69</v>
      </c>
      <c r="E612" s="9">
        <v>23000</v>
      </c>
      <c r="F612" s="9">
        <f t="shared" si="12"/>
        <v>46000</v>
      </c>
    </row>
    <row r="613" spans="1:6" x14ac:dyDescent="0.25">
      <c r="B613" t="s">
        <v>102</v>
      </c>
      <c r="C613">
        <v>4</v>
      </c>
      <c r="D613" t="s">
        <v>96</v>
      </c>
      <c r="E613" s="9">
        <v>23000</v>
      </c>
      <c r="F613" s="9">
        <f t="shared" si="12"/>
        <v>92000</v>
      </c>
    </row>
    <row r="614" spans="1:6" x14ac:dyDescent="0.25">
      <c r="A614" s="8">
        <v>45184</v>
      </c>
      <c r="B614" t="s">
        <v>73</v>
      </c>
      <c r="C614">
        <v>10</v>
      </c>
      <c r="D614" t="s">
        <v>71</v>
      </c>
      <c r="E614" s="9">
        <v>20000</v>
      </c>
      <c r="F614" s="9">
        <f t="shared" si="12"/>
        <v>200000</v>
      </c>
    </row>
    <row r="615" spans="1:6" x14ac:dyDescent="0.25">
      <c r="B615" t="s">
        <v>42</v>
      </c>
      <c r="C615">
        <v>20</v>
      </c>
      <c r="D615" t="s">
        <v>69</v>
      </c>
      <c r="E615" s="9">
        <v>22000</v>
      </c>
      <c r="F615" s="9">
        <f t="shared" si="12"/>
        <v>440000</v>
      </c>
    </row>
    <row r="616" spans="1:6" x14ac:dyDescent="0.25">
      <c r="B616" t="s">
        <v>117</v>
      </c>
      <c r="C616">
        <v>3</v>
      </c>
      <c r="D616" t="s">
        <v>69</v>
      </c>
      <c r="E616" s="9">
        <v>23000</v>
      </c>
      <c r="F616" s="9">
        <f t="shared" si="12"/>
        <v>69000</v>
      </c>
    </row>
    <row r="617" spans="1:6" x14ac:dyDescent="0.25">
      <c r="B617" t="s">
        <v>83</v>
      </c>
      <c r="C617">
        <v>110</v>
      </c>
      <c r="D617" t="s">
        <v>72</v>
      </c>
      <c r="E617" s="9">
        <v>20000</v>
      </c>
      <c r="F617" s="9">
        <f t="shared" si="12"/>
        <v>2200000</v>
      </c>
    </row>
    <row r="618" spans="1:6" x14ac:dyDescent="0.25">
      <c r="B618" t="s">
        <v>45</v>
      </c>
      <c r="C618">
        <v>6</v>
      </c>
      <c r="D618" t="s">
        <v>69</v>
      </c>
      <c r="E618" s="9">
        <v>23000</v>
      </c>
      <c r="F618" s="9">
        <f t="shared" si="12"/>
        <v>138000</v>
      </c>
    </row>
    <row r="619" spans="1:6" x14ac:dyDescent="0.25">
      <c r="A619" s="28">
        <v>45185</v>
      </c>
      <c r="B619" t="s">
        <v>88</v>
      </c>
      <c r="C619">
        <v>5</v>
      </c>
      <c r="D619" t="s">
        <v>69</v>
      </c>
      <c r="E619" s="9">
        <v>23000</v>
      </c>
      <c r="F619" s="9">
        <f t="shared" si="12"/>
        <v>115000</v>
      </c>
    </row>
    <row r="620" spans="1:6" x14ac:dyDescent="0.25">
      <c r="B620" t="s">
        <v>98</v>
      </c>
      <c r="C620">
        <v>5</v>
      </c>
      <c r="D620" t="s">
        <v>72</v>
      </c>
      <c r="E620" s="9">
        <v>21000</v>
      </c>
      <c r="F620" s="9">
        <f t="shared" si="12"/>
        <v>105000</v>
      </c>
    </row>
    <row r="621" spans="1:6" x14ac:dyDescent="0.25">
      <c r="A621" s="8">
        <v>45186</v>
      </c>
      <c r="B621" t="s">
        <v>87</v>
      </c>
      <c r="C621">
        <v>8</v>
      </c>
      <c r="D621" t="s">
        <v>69</v>
      </c>
      <c r="E621" s="9">
        <v>23000</v>
      </c>
      <c r="F621" s="9">
        <f t="shared" si="12"/>
        <v>184000</v>
      </c>
    </row>
    <row r="622" spans="1:6" x14ac:dyDescent="0.25">
      <c r="B622" t="s">
        <v>39</v>
      </c>
      <c r="C622">
        <v>24</v>
      </c>
      <c r="D622" t="s">
        <v>72</v>
      </c>
      <c r="E622" s="9">
        <v>20000</v>
      </c>
      <c r="F622" s="9">
        <f t="shared" si="12"/>
        <v>480000</v>
      </c>
    </row>
    <row r="623" spans="1:6" x14ac:dyDescent="0.25">
      <c r="A623" s="8">
        <v>45187</v>
      </c>
      <c r="B623" t="s">
        <v>42</v>
      </c>
      <c r="C623">
        <v>15</v>
      </c>
      <c r="D623" t="s">
        <v>69</v>
      </c>
      <c r="E623" s="9">
        <v>22000</v>
      </c>
      <c r="F623" s="9">
        <f t="shared" si="12"/>
        <v>330000</v>
      </c>
    </row>
    <row r="624" spans="1:6" x14ac:dyDescent="0.25">
      <c r="B624" t="s">
        <v>117</v>
      </c>
      <c r="C624">
        <v>5</v>
      </c>
      <c r="D624" t="s">
        <v>69</v>
      </c>
      <c r="E624" s="9">
        <v>24000</v>
      </c>
      <c r="F624" s="9">
        <f t="shared" si="12"/>
        <v>120000</v>
      </c>
    </row>
    <row r="625" spans="1:6" x14ac:dyDescent="0.25">
      <c r="B625" t="s">
        <v>101</v>
      </c>
      <c r="C625">
        <v>15</v>
      </c>
      <c r="D625" t="s">
        <v>69</v>
      </c>
      <c r="E625" s="9">
        <v>22000</v>
      </c>
      <c r="F625" s="9">
        <f t="shared" si="12"/>
        <v>330000</v>
      </c>
    </row>
    <row r="626" spans="1:6" x14ac:dyDescent="0.25">
      <c r="B626" t="s">
        <v>45</v>
      </c>
      <c r="C626">
        <v>2</v>
      </c>
      <c r="D626" t="s">
        <v>69</v>
      </c>
      <c r="E626" s="9">
        <v>23000</v>
      </c>
      <c r="F626" s="9">
        <f t="shared" si="12"/>
        <v>46000</v>
      </c>
    </row>
    <row r="627" spans="1:6" x14ac:dyDescent="0.25">
      <c r="B627" t="s">
        <v>120</v>
      </c>
      <c r="C627">
        <v>2</v>
      </c>
      <c r="D627" t="s">
        <v>96</v>
      </c>
      <c r="E627" s="9">
        <v>23000</v>
      </c>
      <c r="F627" s="9">
        <f t="shared" si="12"/>
        <v>46000</v>
      </c>
    </row>
    <row r="628" spans="1:6" x14ac:dyDescent="0.25">
      <c r="A628" s="8">
        <v>45188</v>
      </c>
      <c r="B628" t="s">
        <v>52</v>
      </c>
      <c r="C628">
        <v>14</v>
      </c>
      <c r="D628" t="s">
        <v>71</v>
      </c>
      <c r="E628" s="9">
        <v>19000</v>
      </c>
      <c r="F628" s="9">
        <f t="shared" si="12"/>
        <v>266000</v>
      </c>
    </row>
    <row r="629" spans="1:6" x14ac:dyDescent="0.25">
      <c r="B629" t="s">
        <v>52</v>
      </c>
      <c r="C629">
        <v>10</v>
      </c>
      <c r="D629" t="s">
        <v>72</v>
      </c>
      <c r="E629" s="9">
        <v>20000</v>
      </c>
      <c r="F629" s="9">
        <f t="shared" si="12"/>
        <v>200000</v>
      </c>
    </row>
    <row r="630" spans="1:6" x14ac:dyDescent="0.25">
      <c r="B630" t="s">
        <v>80</v>
      </c>
      <c r="C630">
        <v>15</v>
      </c>
      <c r="D630" t="s">
        <v>69</v>
      </c>
      <c r="E630" s="9">
        <v>23000</v>
      </c>
      <c r="F630" s="9">
        <f t="shared" si="12"/>
        <v>345000</v>
      </c>
    </row>
    <row r="631" spans="1:6" x14ac:dyDescent="0.25">
      <c r="B631" t="s">
        <v>119</v>
      </c>
      <c r="C631">
        <v>4</v>
      </c>
      <c r="D631" t="s">
        <v>69</v>
      </c>
      <c r="E631" s="9">
        <v>23000</v>
      </c>
      <c r="F631" s="9">
        <f t="shared" si="12"/>
        <v>92000</v>
      </c>
    </row>
    <row r="632" spans="1:6" x14ac:dyDescent="0.25">
      <c r="B632" t="s">
        <v>82</v>
      </c>
      <c r="C632">
        <v>60</v>
      </c>
      <c r="D632" t="s">
        <v>72</v>
      </c>
      <c r="E632" s="9">
        <v>20000</v>
      </c>
      <c r="F632" s="9">
        <f t="shared" si="12"/>
        <v>1200000</v>
      </c>
    </row>
    <row r="633" spans="1:6" x14ac:dyDescent="0.25">
      <c r="A633" s="8">
        <v>45190</v>
      </c>
      <c r="B633" t="s">
        <v>39</v>
      </c>
      <c r="C633">
        <v>25</v>
      </c>
      <c r="D633" t="s">
        <v>72</v>
      </c>
      <c r="E633" s="9">
        <v>20000</v>
      </c>
      <c r="F633" s="9">
        <f t="shared" si="12"/>
        <v>500000</v>
      </c>
    </row>
    <row r="634" spans="1:6" x14ac:dyDescent="0.25">
      <c r="A634" s="8">
        <v>45190</v>
      </c>
      <c r="B634" t="s">
        <v>86</v>
      </c>
      <c r="C634">
        <v>4</v>
      </c>
      <c r="D634" t="s">
        <v>96</v>
      </c>
      <c r="E634" s="9">
        <v>25000</v>
      </c>
      <c r="F634" s="9">
        <f t="shared" si="12"/>
        <v>100000</v>
      </c>
    </row>
    <row r="635" spans="1:6" x14ac:dyDescent="0.25">
      <c r="B635" t="s">
        <v>117</v>
      </c>
      <c r="C635">
        <v>4</v>
      </c>
      <c r="D635" t="s">
        <v>69</v>
      </c>
      <c r="E635" s="9">
        <v>23000</v>
      </c>
      <c r="F635" s="9">
        <f t="shared" si="12"/>
        <v>92000</v>
      </c>
    </row>
    <row r="636" spans="1:6" x14ac:dyDescent="0.25">
      <c r="B636" t="s">
        <v>83</v>
      </c>
      <c r="C636">
        <v>80</v>
      </c>
      <c r="D636" t="s">
        <v>72</v>
      </c>
      <c r="E636" s="9">
        <v>20000</v>
      </c>
      <c r="F636" s="9">
        <f t="shared" si="12"/>
        <v>1600000</v>
      </c>
    </row>
    <row r="637" spans="1:6" x14ac:dyDescent="0.25">
      <c r="B637" t="s">
        <v>42</v>
      </c>
      <c r="C637">
        <v>20</v>
      </c>
      <c r="D637" t="s">
        <v>69</v>
      </c>
      <c r="E637" s="9">
        <v>22000</v>
      </c>
      <c r="F637" s="9">
        <f t="shared" si="12"/>
        <v>440000</v>
      </c>
    </row>
    <row r="638" spans="1:6" x14ac:dyDescent="0.25">
      <c r="A638" s="8">
        <v>45191</v>
      </c>
      <c r="B638" t="s">
        <v>39</v>
      </c>
      <c r="C638">
        <v>26</v>
      </c>
      <c r="D638" t="s">
        <v>72</v>
      </c>
      <c r="E638" s="9">
        <v>20000</v>
      </c>
      <c r="F638" s="9">
        <f t="shared" si="12"/>
        <v>520000</v>
      </c>
    </row>
    <row r="639" spans="1:6" x14ac:dyDescent="0.25">
      <c r="A639" s="8">
        <v>45193</v>
      </c>
      <c r="B639" t="s">
        <v>39</v>
      </c>
      <c r="C639">
        <v>25</v>
      </c>
      <c r="D639" t="s">
        <v>72</v>
      </c>
      <c r="E639" s="9">
        <v>20000</v>
      </c>
      <c r="F639" s="9">
        <f t="shared" si="12"/>
        <v>500000</v>
      </c>
    </row>
    <row r="640" spans="1:6" x14ac:dyDescent="0.25">
      <c r="B640" t="s">
        <v>45</v>
      </c>
      <c r="C640">
        <v>1</v>
      </c>
      <c r="D640" t="s">
        <v>71</v>
      </c>
      <c r="E640" s="9">
        <v>20000</v>
      </c>
      <c r="F640" s="9">
        <f t="shared" si="12"/>
        <v>20000</v>
      </c>
    </row>
    <row r="641" spans="1:6" x14ac:dyDescent="0.25">
      <c r="B641" t="s">
        <v>121</v>
      </c>
      <c r="C641">
        <v>6</v>
      </c>
      <c r="D641" t="s">
        <v>71</v>
      </c>
      <c r="E641" s="9">
        <v>20000</v>
      </c>
      <c r="F641" s="9">
        <f t="shared" si="12"/>
        <v>120000</v>
      </c>
    </row>
    <row r="642" spans="1:6" x14ac:dyDescent="0.25">
      <c r="B642" t="s">
        <v>122</v>
      </c>
      <c r="C642">
        <v>4</v>
      </c>
      <c r="D642" t="s">
        <v>71</v>
      </c>
      <c r="E642" s="9">
        <v>20000</v>
      </c>
      <c r="F642" s="9">
        <f t="shared" si="12"/>
        <v>80000</v>
      </c>
    </row>
    <row r="643" spans="1:6" x14ac:dyDescent="0.25">
      <c r="A643" s="8">
        <v>45194</v>
      </c>
      <c r="B643" t="s">
        <v>119</v>
      </c>
      <c r="C643">
        <v>4</v>
      </c>
      <c r="D643" t="s">
        <v>69</v>
      </c>
      <c r="E643" s="9">
        <v>23000</v>
      </c>
      <c r="F643" s="9">
        <f t="shared" si="12"/>
        <v>92000</v>
      </c>
    </row>
    <row r="644" spans="1:6" x14ac:dyDescent="0.25">
      <c r="B644" t="s">
        <v>52</v>
      </c>
      <c r="C644">
        <v>18</v>
      </c>
      <c r="D644" t="s">
        <v>71</v>
      </c>
      <c r="E644" s="9">
        <v>19000</v>
      </c>
      <c r="F644" s="9">
        <f t="shared" si="12"/>
        <v>342000</v>
      </c>
    </row>
    <row r="645" spans="1:6" x14ac:dyDescent="0.25">
      <c r="B645" t="s">
        <v>117</v>
      </c>
      <c r="C645">
        <v>2</v>
      </c>
      <c r="D645" t="s">
        <v>69</v>
      </c>
      <c r="E645" s="9">
        <v>22000</v>
      </c>
      <c r="F645" s="9">
        <f t="shared" si="12"/>
        <v>44000</v>
      </c>
    </row>
    <row r="646" spans="1:6" x14ac:dyDescent="0.25">
      <c r="B646" t="s">
        <v>42</v>
      </c>
      <c r="C646">
        <v>20</v>
      </c>
      <c r="D646" t="s">
        <v>69</v>
      </c>
      <c r="E646" s="9">
        <v>22000</v>
      </c>
      <c r="F646" s="9">
        <f t="shared" si="12"/>
        <v>440000</v>
      </c>
    </row>
    <row r="647" spans="1:6" x14ac:dyDescent="0.25">
      <c r="B647" t="s">
        <v>98</v>
      </c>
      <c r="C647">
        <v>10</v>
      </c>
      <c r="D647" t="s">
        <v>72</v>
      </c>
      <c r="E647" s="9">
        <v>21000</v>
      </c>
      <c r="F647" s="9">
        <f t="shared" si="12"/>
        <v>210000</v>
      </c>
    </row>
    <row r="648" spans="1:6" x14ac:dyDescent="0.25">
      <c r="A648" s="8">
        <v>45195</v>
      </c>
      <c r="B648" t="s">
        <v>112</v>
      </c>
      <c r="C648">
        <v>2</v>
      </c>
      <c r="D648" t="s">
        <v>69</v>
      </c>
      <c r="E648" s="9">
        <v>25000</v>
      </c>
      <c r="F648" s="9">
        <f t="shared" si="12"/>
        <v>50000</v>
      </c>
    </row>
    <row r="649" spans="1:6" x14ac:dyDescent="0.25">
      <c r="B649" t="s">
        <v>102</v>
      </c>
      <c r="C649">
        <v>4</v>
      </c>
      <c r="D649" t="s">
        <v>96</v>
      </c>
      <c r="E649" s="9">
        <v>23000</v>
      </c>
      <c r="F649" s="9">
        <f t="shared" si="12"/>
        <v>92000</v>
      </c>
    </row>
    <row r="650" spans="1:6" x14ac:dyDescent="0.25">
      <c r="B650" t="s">
        <v>100</v>
      </c>
      <c r="C650">
        <v>4</v>
      </c>
      <c r="D650" t="s">
        <v>96</v>
      </c>
      <c r="E650" s="9">
        <v>24000</v>
      </c>
      <c r="F650" s="9">
        <f t="shared" si="12"/>
        <v>96000</v>
      </c>
    </row>
    <row r="651" spans="1:6" x14ac:dyDescent="0.25">
      <c r="B651" t="s">
        <v>89</v>
      </c>
      <c r="C651">
        <v>10</v>
      </c>
      <c r="D651" t="s">
        <v>69</v>
      </c>
      <c r="E651" s="9">
        <v>21000</v>
      </c>
      <c r="F651" s="9">
        <f t="shared" si="12"/>
        <v>210000</v>
      </c>
    </row>
    <row r="652" spans="1:6" x14ac:dyDescent="0.25">
      <c r="A652" s="8">
        <v>45196</v>
      </c>
      <c r="B652" t="s">
        <v>52</v>
      </c>
      <c r="C652">
        <v>14</v>
      </c>
      <c r="D652" t="s">
        <v>71</v>
      </c>
      <c r="E652" s="9">
        <v>19000</v>
      </c>
      <c r="F652" s="9">
        <f t="shared" si="12"/>
        <v>266000</v>
      </c>
    </row>
    <row r="653" spans="1:6" x14ac:dyDescent="0.25">
      <c r="B653" t="s">
        <v>107</v>
      </c>
      <c r="C653">
        <v>2</v>
      </c>
      <c r="D653" t="s">
        <v>69</v>
      </c>
      <c r="E653" s="9">
        <v>25000</v>
      </c>
      <c r="F653" s="9">
        <f t="shared" si="12"/>
        <v>50000</v>
      </c>
    </row>
    <row r="654" spans="1:6" x14ac:dyDescent="0.25">
      <c r="B654" t="s">
        <v>117</v>
      </c>
      <c r="C654">
        <v>4</v>
      </c>
      <c r="D654" t="s">
        <v>69</v>
      </c>
      <c r="E654" s="9">
        <v>22000</v>
      </c>
      <c r="F654" s="9">
        <f t="shared" si="12"/>
        <v>88000</v>
      </c>
    </row>
    <row r="655" spans="1:6" x14ac:dyDescent="0.25">
      <c r="B655" t="s">
        <v>119</v>
      </c>
      <c r="C655">
        <v>4</v>
      </c>
      <c r="D655" t="s">
        <v>69</v>
      </c>
      <c r="E655" s="9">
        <v>23000</v>
      </c>
      <c r="F655" s="9">
        <f t="shared" si="12"/>
        <v>92000</v>
      </c>
    </row>
    <row r="656" spans="1:6" x14ac:dyDescent="0.25">
      <c r="B656" t="s">
        <v>42</v>
      </c>
      <c r="C656">
        <v>30</v>
      </c>
      <c r="D656" t="s">
        <v>69</v>
      </c>
      <c r="E656" s="9">
        <v>21000</v>
      </c>
      <c r="F656" s="9">
        <f t="shared" si="12"/>
        <v>630000</v>
      </c>
    </row>
    <row r="657" spans="1:14" x14ac:dyDescent="0.25">
      <c r="B657" t="s">
        <v>116</v>
      </c>
      <c r="C657">
        <v>5</v>
      </c>
      <c r="D657" t="s">
        <v>69</v>
      </c>
      <c r="E657" s="9">
        <v>22000</v>
      </c>
      <c r="F657" s="9">
        <f t="shared" si="12"/>
        <v>110000</v>
      </c>
    </row>
    <row r="658" spans="1:14" x14ac:dyDescent="0.25">
      <c r="B658" t="s">
        <v>87</v>
      </c>
      <c r="C658">
        <v>8</v>
      </c>
      <c r="D658" t="s">
        <v>72</v>
      </c>
      <c r="E658" s="9">
        <v>22000</v>
      </c>
      <c r="F658" s="9">
        <f t="shared" si="12"/>
        <v>176000</v>
      </c>
    </row>
    <row r="659" spans="1:14" x14ac:dyDescent="0.25">
      <c r="A659" s="8">
        <v>45197</v>
      </c>
      <c r="B659" t="s">
        <v>42</v>
      </c>
      <c r="C659">
        <v>15</v>
      </c>
      <c r="D659" t="s">
        <v>69</v>
      </c>
      <c r="E659" s="9">
        <v>21000</v>
      </c>
      <c r="F659" s="9">
        <f t="shared" si="12"/>
        <v>315000</v>
      </c>
    </row>
    <row r="660" spans="1:14" x14ac:dyDescent="0.25">
      <c r="B660" t="s">
        <v>88</v>
      </c>
      <c r="C660">
        <v>4</v>
      </c>
      <c r="D660" t="s">
        <v>69</v>
      </c>
      <c r="E660" s="9">
        <v>23000</v>
      </c>
      <c r="F660" s="9">
        <f t="shared" si="12"/>
        <v>92000</v>
      </c>
    </row>
    <row r="661" spans="1:14" x14ac:dyDescent="0.25">
      <c r="B661" t="s">
        <v>73</v>
      </c>
      <c r="C661">
        <v>5</v>
      </c>
      <c r="D661" t="s">
        <v>72</v>
      </c>
      <c r="E661" s="9">
        <v>20000</v>
      </c>
      <c r="F661" s="9">
        <f t="shared" si="12"/>
        <v>100000</v>
      </c>
    </row>
    <row r="662" spans="1:14" x14ac:dyDescent="0.25">
      <c r="B662" t="s">
        <v>101</v>
      </c>
      <c r="C662">
        <v>15</v>
      </c>
      <c r="D662" t="s">
        <v>69</v>
      </c>
      <c r="E662" s="9">
        <v>20000</v>
      </c>
      <c r="F662" s="9">
        <f t="shared" si="12"/>
        <v>300000</v>
      </c>
    </row>
    <row r="663" spans="1:14" x14ac:dyDescent="0.25">
      <c r="B663" t="s">
        <v>123</v>
      </c>
      <c r="C663">
        <v>2</v>
      </c>
      <c r="D663" t="s">
        <v>72</v>
      </c>
      <c r="E663" s="9">
        <v>20000</v>
      </c>
      <c r="F663" s="9">
        <f t="shared" si="12"/>
        <v>40000</v>
      </c>
    </row>
    <row r="664" spans="1:14" x14ac:dyDescent="0.25">
      <c r="A664" s="8">
        <v>45198</v>
      </c>
      <c r="B664" t="s">
        <v>100</v>
      </c>
      <c r="C664">
        <v>3</v>
      </c>
      <c r="D664" t="s">
        <v>96</v>
      </c>
      <c r="E664" s="9">
        <v>24000</v>
      </c>
      <c r="F664" s="9">
        <f t="shared" si="12"/>
        <v>72000</v>
      </c>
    </row>
    <row r="665" spans="1:14" x14ac:dyDescent="0.25">
      <c r="B665" t="s">
        <v>45</v>
      </c>
      <c r="C665">
        <v>1</v>
      </c>
      <c r="D665" t="s">
        <v>72</v>
      </c>
      <c r="E665" s="9">
        <v>22000</v>
      </c>
      <c r="F665" s="9">
        <f t="shared" si="12"/>
        <v>22000</v>
      </c>
    </row>
    <row r="666" spans="1:14" x14ac:dyDescent="0.25">
      <c r="B666" t="s">
        <v>45</v>
      </c>
      <c r="C666">
        <v>2</v>
      </c>
      <c r="D666" t="s">
        <v>71</v>
      </c>
      <c r="E666" s="9">
        <v>25000</v>
      </c>
      <c r="F666" s="9">
        <f t="shared" si="12"/>
        <v>50000</v>
      </c>
    </row>
    <row r="667" spans="1:14" x14ac:dyDescent="0.25">
      <c r="B667" t="s">
        <v>45</v>
      </c>
      <c r="C667">
        <v>5</v>
      </c>
      <c r="D667" t="s">
        <v>69</v>
      </c>
      <c r="E667" s="9">
        <v>22000</v>
      </c>
      <c r="F667" s="9">
        <f t="shared" si="12"/>
        <v>110000</v>
      </c>
    </row>
    <row r="668" spans="1:14" s="30" customFormat="1" x14ac:dyDescent="0.25">
      <c r="A668" s="29">
        <v>45201</v>
      </c>
      <c r="B668" s="30" t="s">
        <v>117</v>
      </c>
      <c r="C668" s="30">
        <v>4</v>
      </c>
      <c r="D668" s="30" t="s">
        <v>69</v>
      </c>
      <c r="E668" s="31">
        <v>22000</v>
      </c>
      <c r="F668" s="31">
        <f t="shared" si="12"/>
        <v>88000</v>
      </c>
      <c r="G668" s="31">
        <f>+SUM(F668:F785)/SUM(C668:C785)</f>
        <v>19847.050074367871</v>
      </c>
      <c r="I668" s="36" t="s">
        <v>139</v>
      </c>
      <c r="J668" s="31">
        <v>33</v>
      </c>
      <c r="M668" s="31"/>
    </row>
    <row r="669" spans="1:14" x14ac:dyDescent="0.25">
      <c r="B669" t="s">
        <v>122</v>
      </c>
      <c r="C669">
        <v>6</v>
      </c>
      <c r="D669" t="s">
        <v>72</v>
      </c>
      <c r="E669" s="9">
        <v>20000</v>
      </c>
      <c r="F669" s="9">
        <f t="shared" si="12"/>
        <v>120000</v>
      </c>
      <c r="M669" s="9"/>
    </row>
    <row r="670" spans="1:14" x14ac:dyDescent="0.25">
      <c r="B670" t="s">
        <v>42</v>
      </c>
      <c r="C670">
        <v>15</v>
      </c>
      <c r="D670" t="s">
        <v>69</v>
      </c>
      <c r="E670" s="9">
        <v>21000</v>
      </c>
      <c r="F670" s="9">
        <f t="shared" si="12"/>
        <v>315000</v>
      </c>
      <c r="I670" s="40" t="s">
        <v>144</v>
      </c>
      <c r="J670" s="40"/>
      <c r="L670" s="40" t="s">
        <v>141</v>
      </c>
      <c r="M670" s="40"/>
    </row>
    <row r="671" spans="1:14" x14ac:dyDescent="0.25">
      <c r="B671" t="s">
        <v>82</v>
      </c>
      <c r="C671">
        <v>120</v>
      </c>
      <c r="D671" t="s">
        <v>72</v>
      </c>
      <c r="E671" s="9">
        <v>18500</v>
      </c>
      <c r="F671" s="9">
        <f t="shared" si="12"/>
        <v>2220000</v>
      </c>
      <c r="I671" t="s">
        <v>139</v>
      </c>
      <c r="J671" s="17">
        <f>60/100*9*M671*J668</f>
        <v>1336499.9999999998</v>
      </c>
      <c r="L671" t="s">
        <v>140</v>
      </c>
      <c r="M671" s="9">
        <v>7500</v>
      </c>
      <c r="N671" t="s">
        <v>146</v>
      </c>
    </row>
    <row r="672" spans="1:14" x14ac:dyDescent="0.25">
      <c r="B672" t="s">
        <v>119</v>
      </c>
      <c r="C672">
        <v>4</v>
      </c>
      <c r="D672" t="s">
        <v>69</v>
      </c>
      <c r="E672" s="9">
        <v>23000</v>
      </c>
      <c r="F672" s="9">
        <f t="shared" si="12"/>
        <v>92000</v>
      </c>
      <c r="I672" t="s">
        <v>48</v>
      </c>
      <c r="J672" s="9">
        <f>+SUM(C668:C785)*M672</f>
        <v>1008500</v>
      </c>
      <c r="L672" t="s">
        <v>48</v>
      </c>
      <c r="M672" s="9">
        <v>500</v>
      </c>
      <c r="N672" t="s">
        <v>147</v>
      </c>
    </row>
    <row r="673" spans="1:14" x14ac:dyDescent="0.25">
      <c r="A673" s="29">
        <v>45201</v>
      </c>
      <c r="B673" t="s">
        <v>39</v>
      </c>
      <c r="C673">
        <v>45</v>
      </c>
      <c r="D673" t="s">
        <v>72</v>
      </c>
      <c r="E673" s="9">
        <v>20000</v>
      </c>
      <c r="F673" s="9">
        <f t="shared" si="12"/>
        <v>900000</v>
      </c>
      <c r="I673" t="s">
        <v>142</v>
      </c>
      <c r="J673" s="9">
        <f>9.5*31*M673</f>
        <v>18553500</v>
      </c>
      <c r="L673" t="s">
        <v>142</v>
      </c>
      <c r="M673" s="9">
        <v>63000</v>
      </c>
      <c r="N673" t="s">
        <v>148</v>
      </c>
    </row>
    <row r="674" spans="1:14" x14ac:dyDescent="0.25">
      <c r="A674" s="8">
        <v>45202</v>
      </c>
      <c r="B674" t="s">
        <v>101</v>
      </c>
      <c r="C674">
        <v>10</v>
      </c>
      <c r="D674" t="s">
        <v>96</v>
      </c>
      <c r="E674" s="9">
        <v>20000</v>
      </c>
      <c r="F674" s="9">
        <f t="shared" ref="F674:F737" si="13">+E674*C674</f>
        <v>200000</v>
      </c>
      <c r="I674" t="s">
        <v>145</v>
      </c>
      <c r="J674" s="9">
        <f>+M674*31</f>
        <v>1992857.1428571427</v>
      </c>
      <c r="L674" t="s">
        <v>143</v>
      </c>
      <c r="M674" s="9">
        <f>450000/7</f>
        <v>64285.714285714283</v>
      </c>
      <c r="N674" t="s">
        <v>149</v>
      </c>
    </row>
    <row r="675" spans="1:14" x14ac:dyDescent="0.25">
      <c r="B675" t="s">
        <v>124</v>
      </c>
      <c r="C675">
        <v>15</v>
      </c>
      <c r="D675" t="s">
        <v>71</v>
      </c>
      <c r="E675" s="9">
        <v>19000</v>
      </c>
      <c r="F675" s="9">
        <f t="shared" si="13"/>
        <v>285000</v>
      </c>
      <c r="I675" t="s">
        <v>150</v>
      </c>
      <c r="J675" s="9">
        <v>15000</v>
      </c>
      <c r="K675" s="27"/>
      <c r="M675" s="9"/>
    </row>
    <row r="676" spans="1:14" x14ac:dyDescent="0.25">
      <c r="B676" t="s">
        <v>116</v>
      </c>
      <c r="C676">
        <v>10</v>
      </c>
      <c r="D676" t="s">
        <v>69</v>
      </c>
      <c r="E676" s="9">
        <v>22000</v>
      </c>
      <c r="F676" s="9">
        <f t="shared" si="13"/>
        <v>220000</v>
      </c>
      <c r="I676" t="s">
        <v>151</v>
      </c>
      <c r="J676" s="9">
        <v>150000</v>
      </c>
      <c r="M676" s="9"/>
    </row>
    <row r="677" spans="1:14" x14ac:dyDescent="0.25">
      <c r="B677" t="s">
        <v>83</v>
      </c>
      <c r="C677">
        <v>103</v>
      </c>
      <c r="D677" t="s">
        <v>72</v>
      </c>
      <c r="E677" s="9">
        <v>18500</v>
      </c>
      <c r="F677" s="9">
        <f t="shared" si="13"/>
        <v>1905500</v>
      </c>
      <c r="I677" t="s">
        <v>152</v>
      </c>
      <c r="J677" s="9">
        <f>+SUM(J671:J676)</f>
        <v>23056357.142857142</v>
      </c>
      <c r="N677" s="9"/>
    </row>
    <row r="678" spans="1:14" x14ac:dyDescent="0.25">
      <c r="A678" s="8">
        <v>45204</v>
      </c>
      <c r="B678" t="s">
        <v>117</v>
      </c>
      <c r="C678">
        <v>4</v>
      </c>
      <c r="D678" t="s">
        <v>69</v>
      </c>
      <c r="E678" s="9">
        <v>22000</v>
      </c>
      <c r="F678" s="9">
        <f t="shared" si="13"/>
        <v>88000</v>
      </c>
      <c r="M678" s="9"/>
    </row>
    <row r="679" spans="1:14" x14ac:dyDescent="0.25">
      <c r="B679" t="s">
        <v>119</v>
      </c>
      <c r="C679">
        <v>4</v>
      </c>
      <c r="D679" t="s">
        <v>69</v>
      </c>
      <c r="E679" s="9">
        <v>23000</v>
      </c>
      <c r="F679" s="9">
        <f t="shared" si="13"/>
        <v>92000</v>
      </c>
      <c r="I679" t="s">
        <v>153</v>
      </c>
      <c r="J679" s="9">
        <f>+SUM(F668:F785)</f>
        <v>40031500</v>
      </c>
      <c r="M679" s="9"/>
    </row>
    <row r="680" spans="1:14" ht="15.75" thickBot="1" x14ac:dyDescent="0.3">
      <c r="B680" t="s">
        <v>42</v>
      </c>
      <c r="C680">
        <v>20</v>
      </c>
      <c r="D680" t="s">
        <v>69</v>
      </c>
      <c r="E680" s="9">
        <v>21000</v>
      </c>
      <c r="F680" s="9">
        <f t="shared" si="13"/>
        <v>420000</v>
      </c>
      <c r="M680" s="9"/>
    </row>
    <row r="681" spans="1:14" ht="15.75" thickBot="1" x14ac:dyDescent="0.3">
      <c r="B681" t="s">
        <v>98</v>
      </c>
      <c r="C681">
        <v>10</v>
      </c>
      <c r="D681" t="s">
        <v>72</v>
      </c>
      <c r="E681" s="9">
        <v>21000</v>
      </c>
      <c r="F681" s="9">
        <f t="shared" si="13"/>
        <v>210000</v>
      </c>
      <c r="I681" s="34" t="s">
        <v>155</v>
      </c>
      <c r="J681" s="35">
        <f>+J679-J677</f>
        <v>16975142.857142858</v>
      </c>
      <c r="M681" s="9"/>
    </row>
    <row r="682" spans="1:14" x14ac:dyDescent="0.25">
      <c r="A682" s="8">
        <v>45205</v>
      </c>
      <c r="B682" t="s">
        <v>80</v>
      </c>
      <c r="C682">
        <v>15</v>
      </c>
      <c r="D682" t="s">
        <v>69</v>
      </c>
      <c r="E682" s="9">
        <v>23000</v>
      </c>
      <c r="F682" s="9">
        <f t="shared" si="13"/>
        <v>345000</v>
      </c>
    </row>
    <row r="683" spans="1:14" x14ac:dyDescent="0.25">
      <c r="B683" t="s">
        <v>117</v>
      </c>
      <c r="C683">
        <v>3</v>
      </c>
      <c r="D683" t="s">
        <v>69</v>
      </c>
      <c r="E683" s="9">
        <v>22000</v>
      </c>
      <c r="F683" s="9">
        <f t="shared" si="13"/>
        <v>66000</v>
      </c>
    </row>
    <row r="684" spans="1:14" x14ac:dyDescent="0.25">
      <c r="C684">
        <v>2</v>
      </c>
      <c r="D684" t="s">
        <v>69</v>
      </c>
      <c r="E684" s="9">
        <v>23000</v>
      </c>
      <c r="F684" s="9">
        <f t="shared" si="13"/>
        <v>46000</v>
      </c>
    </row>
    <row r="685" spans="1:14" x14ac:dyDescent="0.25">
      <c r="A685" s="8">
        <v>45206</v>
      </c>
      <c r="B685" t="s">
        <v>39</v>
      </c>
      <c r="C685">
        <v>30</v>
      </c>
      <c r="D685" t="s">
        <v>72</v>
      </c>
      <c r="E685" s="9">
        <v>20000</v>
      </c>
      <c r="F685" s="9">
        <f t="shared" si="13"/>
        <v>600000</v>
      </c>
    </row>
    <row r="686" spans="1:14" x14ac:dyDescent="0.25">
      <c r="A686" s="8">
        <v>45206</v>
      </c>
      <c r="B686" t="s">
        <v>101</v>
      </c>
      <c r="C686">
        <v>10</v>
      </c>
      <c r="D686" t="s">
        <v>69</v>
      </c>
      <c r="E686" s="9">
        <v>20000</v>
      </c>
      <c r="F686" s="9">
        <f t="shared" si="13"/>
        <v>200000</v>
      </c>
    </row>
    <row r="687" spans="1:14" x14ac:dyDescent="0.25">
      <c r="B687" t="s">
        <v>124</v>
      </c>
      <c r="C687">
        <v>10</v>
      </c>
      <c r="D687" t="s">
        <v>71</v>
      </c>
      <c r="E687" s="9">
        <v>19000</v>
      </c>
      <c r="F687" s="9">
        <f t="shared" si="13"/>
        <v>190000</v>
      </c>
    </row>
    <row r="688" spans="1:14" x14ac:dyDescent="0.25">
      <c r="B688" t="s">
        <v>73</v>
      </c>
      <c r="C688">
        <v>5</v>
      </c>
      <c r="D688" t="s">
        <v>71</v>
      </c>
      <c r="E688" s="9">
        <v>20000</v>
      </c>
      <c r="F688" s="9">
        <f t="shared" si="13"/>
        <v>100000</v>
      </c>
    </row>
    <row r="689" spans="1:6" x14ac:dyDescent="0.25">
      <c r="B689" t="s">
        <v>100</v>
      </c>
      <c r="C689">
        <v>4</v>
      </c>
      <c r="D689" t="s">
        <v>96</v>
      </c>
      <c r="E689" s="9">
        <v>24000</v>
      </c>
      <c r="F689" s="9">
        <f t="shared" si="13"/>
        <v>96000</v>
      </c>
    </row>
    <row r="690" spans="1:6" x14ac:dyDescent="0.25">
      <c r="B690" t="s">
        <v>85</v>
      </c>
      <c r="C690">
        <v>5</v>
      </c>
      <c r="D690" t="s">
        <v>69</v>
      </c>
      <c r="E690" s="9">
        <v>22000</v>
      </c>
      <c r="F690" s="9">
        <f t="shared" si="13"/>
        <v>110000</v>
      </c>
    </row>
    <row r="691" spans="1:6" x14ac:dyDescent="0.25">
      <c r="B691" t="s">
        <v>45</v>
      </c>
      <c r="C691">
        <v>2</v>
      </c>
      <c r="D691" t="s">
        <v>72</v>
      </c>
      <c r="E691" s="9">
        <v>23000</v>
      </c>
      <c r="F691" s="9">
        <f t="shared" si="13"/>
        <v>46000</v>
      </c>
    </row>
    <row r="692" spans="1:6" x14ac:dyDescent="0.25">
      <c r="A692" s="8">
        <v>45207</v>
      </c>
      <c r="B692" t="s">
        <v>87</v>
      </c>
      <c r="C692">
        <v>10</v>
      </c>
      <c r="D692" t="s">
        <v>72</v>
      </c>
      <c r="E692" s="9">
        <v>22000</v>
      </c>
      <c r="F692" s="9">
        <f t="shared" si="13"/>
        <v>220000</v>
      </c>
    </row>
    <row r="693" spans="1:6" x14ac:dyDescent="0.25">
      <c r="A693" s="8">
        <v>45208</v>
      </c>
      <c r="B693" t="s">
        <v>52</v>
      </c>
      <c r="C693">
        <v>8</v>
      </c>
      <c r="D693" t="s">
        <v>71</v>
      </c>
      <c r="E693" s="9">
        <v>19000</v>
      </c>
      <c r="F693" s="9">
        <f t="shared" si="13"/>
        <v>152000</v>
      </c>
    </row>
    <row r="694" spans="1:6" x14ac:dyDescent="0.25">
      <c r="B694" t="s">
        <v>52</v>
      </c>
      <c r="C694">
        <v>15</v>
      </c>
      <c r="D694" t="s">
        <v>69</v>
      </c>
      <c r="E694" s="9">
        <v>21000</v>
      </c>
      <c r="F694" s="9">
        <f t="shared" si="13"/>
        <v>315000</v>
      </c>
    </row>
    <row r="695" spans="1:6" x14ac:dyDescent="0.25">
      <c r="B695" t="s">
        <v>119</v>
      </c>
      <c r="C695">
        <v>4</v>
      </c>
      <c r="D695" t="s">
        <v>69</v>
      </c>
      <c r="E695" s="9">
        <v>23000</v>
      </c>
      <c r="F695" s="9">
        <f t="shared" si="13"/>
        <v>92000</v>
      </c>
    </row>
    <row r="696" spans="1:6" x14ac:dyDescent="0.25">
      <c r="B696" t="s">
        <v>42</v>
      </c>
      <c r="C696">
        <v>20</v>
      </c>
      <c r="D696" t="s">
        <v>69</v>
      </c>
      <c r="E696" s="9">
        <v>21000</v>
      </c>
      <c r="F696" s="9">
        <f t="shared" si="13"/>
        <v>420000</v>
      </c>
    </row>
    <row r="697" spans="1:6" x14ac:dyDescent="0.25">
      <c r="B697" t="s">
        <v>82</v>
      </c>
      <c r="C697">
        <v>130</v>
      </c>
      <c r="D697" t="s">
        <v>72</v>
      </c>
      <c r="E697" s="9">
        <v>18500</v>
      </c>
      <c r="F697" s="9">
        <f t="shared" si="13"/>
        <v>2405000</v>
      </c>
    </row>
    <row r="698" spans="1:6" x14ac:dyDescent="0.25">
      <c r="B698" t="s">
        <v>125</v>
      </c>
      <c r="C698">
        <v>10</v>
      </c>
      <c r="D698" t="s">
        <v>72</v>
      </c>
      <c r="E698" s="9">
        <v>19000</v>
      </c>
      <c r="F698" s="9">
        <f t="shared" si="13"/>
        <v>190000</v>
      </c>
    </row>
    <row r="699" spans="1:6" x14ac:dyDescent="0.25">
      <c r="B699" t="s">
        <v>126</v>
      </c>
      <c r="C699">
        <v>11</v>
      </c>
      <c r="D699" t="s">
        <v>72</v>
      </c>
      <c r="E699" s="9">
        <v>20000</v>
      </c>
      <c r="F699" s="9">
        <f t="shared" si="13"/>
        <v>220000</v>
      </c>
    </row>
    <row r="700" spans="1:6" x14ac:dyDescent="0.25">
      <c r="B700" t="s">
        <v>83</v>
      </c>
      <c r="C700">
        <v>85</v>
      </c>
      <c r="D700" t="s">
        <v>72</v>
      </c>
      <c r="E700" s="9">
        <v>18500</v>
      </c>
      <c r="F700" s="9">
        <f t="shared" si="13"/>
        <v>1572500</v>
      </c>
    </row>
    <row r="701" spans="1:6" x14ac:dyDescent="0.25">
      <c r="A701" s="8">
        <v>45208</v>
      </c>
      <c r="B701" t="s">
        <v>39</v>
      </c>
      <c r="C701">
        <v>30</v>
      </c>
      <c r="D701" t="s">
        <v>72</v>
      </c>
      <c r="E701" s="9">
        <v>20000</v>
      </c>
      <c r="F701" s="9">
        <f t="shared" si="13"/>
        <v>600000</v>
      </c>
    </row>
    <row r="702" spans="1:6" x14ac:dyDescent="0.25">
      <c r="A702" s="8">
        <v>45209</v>
      </c>
      <c r="B702" t="s">
        <v>45</v>
      </c>
      <c r="C702">
        <v>2</v>
      </c>
      <c r="D702" t="s">
        <v>71</v>
      </c>
      <c r="E702" s="9">
        <v>20000</v>
      </c>
      <c r="F702" s="9">
        <f t="shared" si="13"/>
        <v>40000</v>
      </c>
    </row>
    <row r="703" spans="1:6" x14ac:dyDescent="0.25">
      <c r="B703" t="s">
        <v>64</v>
      </c>
      <c r="C703">
        <v>4</v>
      </c>
      <c r="D703" t="s">
        <v>72</v>
      </c>
      <c r="E703" s="9">
        <v>22000</v>
      </c>
      <c r="F703" s="9">
        <f t="shared" si="13"/>
        <v>88000</v>
      </c>
    </row>
    <row r="704" spans="1:6" x14ac:dyDescent="0.25">
      <c r="B704" t="s">
        <v>89</v>
      </c>
      <c r="C704">
        <v>10</v>
      </c>
      <c r="D704" t="s">
        <v>69</v>
      </c>
      <c r="E704" s="9">
        <v>21000</v>
      </c>
      <c r="F704" s="9">
        <f t="shared" si="13"/>
        <v>210000</v>
      </c>
    </row>
    <row r="705" spans="1:6" x14ac:dyDescent="0.25">
      <c r="A705" s="8">
        <v>45210</v>
      </c>
      <c r="B705" t="s">
        <v>117</v>
      </c>
      <c r="C705">
        <v>4</v>
      </c>
      <c r="D705" t="s">
        <v>69</v>
      </c>
      <c r="E705" s="9">
        <v>22000</v>
      </c>
      <c r="F705" s="9">
        <f t="shared" si="13"/>
        <v>88000</v>
      </c>
    </row>
    <row r="706" spans="1:6" x14ac:dyDescent="0.25">
      <c r="B706" t="s">
        <v>42</v>
      </c>
      <c r="C706">
        <v>15</v>
      </c>
      <c r="D706" t="s">
        <v>69</v>
      </c>
      <c r="E706" s="9">
        <v>21000</v>
      </c>
      <c r="F706" s="9">
        <f t="shared" si="13"/>
        <v>315000</v>
      </c>
    </row>
    <row r="707" spans="1:6" x14ac:dyDescent="0.25">
      <c r="B707" t="s">
        <v>73</v>
      </c>
      <c r="C707">
        <v>6</v>
      </c>
      <c r="D707" t="s">
        <v>71</v>
      </c>
      <c r="E707" s="9">
        <v>18000</v>
      </c>
      <c r="F707" s="9">
        <f t="shared" si="13"/>
        <v>108000</v>
      </c>
    </row>
    <row r="708" spans="1:6" x14ac:dyDescent="0.25">
      <c r="B708" t="s">
        <v>119</v>
      </c>
      <c r="C708">
        <v>4</v>
      </c>
      <c r="D708" t="s">
        <v>69</v>
      </c>
      <c r="E708" s="9">
        <v>23000</v>
      </c>
      <c r="F708" s="9">
        <f t="shared" si="13"/>
        <v>92000</v>
      </c>
    </row>
    <row r="709" spans="1:6" x14ac:dyDescent="0.25">
      <c r="B709" t="s">
        <v>126</v>
      </c>
      <c r="C709">
        <v>33</v>
      </c>
      <c r="D709" t="s">
        <v>69</v>
      </c>
      <c r="E709" s="9">
        <v>20000</v>
      </c>
      <c r="F709" s="9">
        <f t="shared" si="13"/>
        <v>660000</v>
      </c>
    </row>
    <row r="710" spans="1:6" x14ac:dyDescent="0.25">
      <c r="B710" t="s">
        <v>82</v>
      </c>
      <c r="C710">
        <v>82</v>
      </c>
      <c r="D710" t="s">
        <v>72</v>
      </c>
      <c r="E710" s="9">
        <v>18500</v>
      </c>
      <c r="F710" s="9">
        <f t="shared" si="13"/>
        <v>1517000</v>
      </c>
    </row>
    <row r="711" spans="1:6" x14ac:dyDescent="0.25">
      <c r="A711" s="8">
        <v>45212</v>
      </c>
      <c r="B711" t="s">
        <v>117</v>
      </c>
      <c r="C711">
        <v>3</v>
      </c>
      <c r="D711" t="s">
        <v>69</v>
      </c>
      <c r="E711" s="9">
        <v>22000</v>
      </c>
      <c r="F711" s="9">
        <f t="shared" si="13"/>
        <v>66000</v>
      </c>
    </row>
    <row r="712" spans="1:6" x14ac:dyDescent="0.25">
      <c r="B712" t="s">
        <v>42</v>
      </c>
      <c r="C712">
        <v>10</v>
      </c>
      <c r="D712" t="s">
        <v>69</v>
      </c>
      <c r="E712" s="9">
        <v>21000</v>
      </c>
      <c r="F712" s="9">
        <f t="shared" si="13"/>
        <v>210000</v>
      </c>
    </row>
    <row r="713" spans="1:6" x14ac:dyDescent="0.25">
      <c r="B713" t="s">
        <v>83</v>
      </c>
      <c r="C713">
        <v>50</v>
      </c>
      <c r="D713" t="s">
        <v>72</v>
      </c>
      <c r="E713" s="9">
        <v>19000</v>
      </c>
      <c r="F713" s="9">
        <f t="shared" si="13"/>
        <v>950000</v>
      </c>
    </row>
    <row r="714" spans="1:6" x14ac:dyDescent="0.25">
      <c r="B714" t="s">
        <v>82</v>
      </c>
      <c r="C714">
        <v>31</v>
      </c>
      <c r="D714" t="s">
        <v>72</v>
      </c>
      <c r="E714" s="9">
        <v>18500</v>
      </c>
      <c r="F714" s="9">
        <f t="shared" si="13"/>
        <v>573500</v>
      </c>
    </row>
    <row r="715" spans="1:6" x14ac:dyDescent="0.25">
      <c r="B715" t="s">
        <v>119</v>
      </c>
      <c r="C715">
        <v>4</v>
      </c>
      <c r="D715" t="s">
        <v>96</v>
      </c>
      <c r="E715" s="9">
        <v>23000</v>
      </c>
      <c r="F715" s="9">
        <f t="shared" si="13"/>
        <v>92000</v>
      </c>
    </row>
    <row r="716" spans="1:6" x14ac:dyDescent="0.25">
      <c r="B716" t="s">
        <v>52</v>
      </c>
      <c r="C716">
        <v>10</v>
      </c>
      <c r="D716" t="s">
        <v>71</v>
      </c>
      <c r="E716" s="9">
        <v>19000</v>
      </c>
      <c r="F716" s="9">
        <f t="shared" si="13"/>
        <v>190000</v>
      </c>
    </row>
    <row r="717" spans="1:6" x14ac:dyDescent="0.25">
      <c r="B717" t="s">
        <v>52</v>
      </c>
      <c r="C717">
        <v>15</v>
      </c>
      <c r="D717" t="s">
        <v>69</v>
      </c>
      <c r="E717" s="9">
        <v>21000</v>
      </c>
      <c r="F717" s="9">
        <f t="shared" si="13"/>
        <v>315000</v>
      </c>
    </row>
    <row r="718" spans="1:6" x14ac:dyDescent="0.25">
      <c r="A718" s="8">
        <v>45213</v>
      </c>
      <c r="B718" t="s">
        <v>39</v>
      </c>
      <c r="C718">
        <v>25</v>
      </c>
      <c r="D718" t="s">
        <v>72</v>
      </c>
      <c r="E718" s="9">
        <v>20000</v>
      </c>
      <c r="F718" s="9">
        <f t="shared" si="13"/>
        <v>500000</v>
      </c>
    </row>
    <row r="719" spans="1:6" x14ac:dyDescent="0.25">
      <c r="A719" s="8">
        <v>45213</v>
      </c>
      <c r="B719" t="s">
        <v>52</v>
      </c>
      <c r="C719">
        <v>23</v>
      </c>
      <c r="D719" t="s">
        <v>69</v>
      </c>
      <c r="E719" s="9">
        <v>21000</v>
      </c>
      <c r="F719" s="9">
        <f t="shared" si="13"/>
        <v>483000</v>
      </c>
    </row>
    <row r="720" spans="1:6" x14ac:dyDescent="0.25">
      <c r="B720" t="s">
        <v>52</v>
      </c>
      <c r="C720">
        <v>3</v>
      </c>
      <c r="D720" t="s">
        <v>71</v>
      </c>
      <c r="E720" s="9">
        <v>19000</v>
      </c>
      <c r="F720" s="9">
        <f t="shared" si="13"/>
        <v>57000</v>
      </c>
    </row>
    <row r="721" spans="1:6" x14ac:dyDescent="0.25">
      <c r="A721" s="8">
        <v>45214</v>
      </c>
      <c r="B721" t="s">
        <v>127</v>
      </c>
      <c r="C721">
        <v>1</v>
      </c>
      <c r="D721" t="s">
        <v>72</v>
      </c>
      <c r="E721" s="9">
        <v>22000</v>
      </c>
      <c r="F721" s="9">
        <f t="shared" si="13"/>
        <v>22000</v>
      </c>
    </row>
    <row r="722" spans="1:6" x14ac:dyDescent="0.25">
      <c r="B722" t="s">
        <v>45</v>
      </c>
      <c r="C722">
        <v>1</v>
      </c>
      <c r="D722" t="s">
        <v>69</v>
      </c>
      <c r="E722" s="9">
        <v>20000</v>
      </c>
      <c r="F722" s="9">
        <f t="shared" si="13"/>
        <v>20000</v>
      </c>
    </row>
    <row r="723" spans="1:6" x14ac:dyDescent="0.25">
      <c r="A723" s="8">
        <v>45215</v>
      </c>
      <c r="B723" t="s">
        <v>124</v>
      </c>
      <c r="C723">
        <v>10</v>
      </c>
      <c r="D723" t="s">
        <v>71</v>
      </c>
      <c r="E723" s="9">
        <v>19000</v>
      </c>
      <c r="F723" s="9">
        <f t="shared" si="13"/>
        <v>190000</v>
      </c>
    </row>
    <row r="724" spans="1:6" x14ac:dyDescent="0.25">
      <c r="B724" t="s">
        <v>52</v>
      </c>
      <c r="C724">
        <v>24</v>
      </c>
      <c r="D724" t="s">
        <v>69</v>
      </c>
      <c r="E724" s="9">
        <v>21000</v>
      </c>
      <c r="F724" s="9">
        <f t="shared" si="13"/>
        <v>504000</v>
      </c>
    </row>
    <row r="725" spans="1:6" x14ac:dyDescent="0.25">
      <c r="B725" t="s">
        <v>82</v>
      </c>
      <c r="C725">
        <v>60</v>
      </c>
      <c r="D725" t="s">
        <v>72</v>
      </c>
      <c r="E725" s="9">
        <v>19000</v>
      </c>
      <c r="F725" s="9">
        <f t="shared" si="13"/>
        <v>1140000</v>
      </c>
    </row>
    <row r="726" spans="1:6" x14ac:dyDescent="0.25">
      <c r="B726" t="s">
        <v>101</v>
      </c>
      <c r="C726">
        <v>15</v>
      </c>
      <c r="D726" t="s">
        <v>69</v>
      </c>
      <c r="E726" s="9">
        <v>20000</v>
      </c>
      <c r="F726" s="9">
        <f t="shared" si="13"/>
        <v>300000</v>
      </c>
    </row>
    <row r="727" spans="1:6" x14ac:dyDescent="0.25">
      <c r="B727" t="s">
        <v>73</v>
      </c>
      <c r="C727">
        <v>5</v>
      </c>
      <c r="D727" t="s">
        <v>72</v>
      </c>
      <c r="E727" s="9">
        <v>20000</v>
      </c>
      <c r="F727" s="9">
        <f t="shared" si="13"/>
        <v>100000</v>
      </c>
    </row>
    <row r="728" spans="1:6" x14ac:dyDescent="0.25">
      <c r="A728" s="8">
        <v>45216</v>
      </c>
      <c r="B728" t="s">
        <v>39</v>
      </c>
      <c r="C728">
        <v>20</v>
      </c>
      <c r="D728" t="s">
        <v>72</v>
      </c>
      <c r="E728" s="9">
        <v>20000</v>
      </c>
      <c r="F728" s="9">
        <f t="shared" si="13"/>
        <v>400000</v>
      </c>
    </row>
    <row r="729" spans="1:6" x14ac:dyDescent="0.25">
      <c r="A729" s="8">
        <v>45216</v>
      </c>
      <c r="B729" t="s">
        <v>80</v>
      </c>
      <c r="C729">
        <v>15</v>
      </c>
      <c r="D729" t="s">
        <v>69</v>
      </c>
      <c r="E729" s="9">
        <v>23000</v>
      </c>
      <c r="F729" s="9">
        <f t="shared" si="13"/>
        <v>345000</v>
      </c>
    </row>
    <row r="730" spans="1:6" x14ac:dyDescent="0.25">
      <c r="B730" t="s">
        <v>126</v>
      </c>
      <c r="C730">
        <v>18</v>
      </c>
      <c r="D730" t="s">
        <v>69</v>
      </c>
      <c r="E730" s="9">
        <v>20000</v>
      </c>
      <c r="F730" s="9">
        <f t="shared" si="13"/>
        <v>360000</v>
      </c>
    </row>
    <row r="731" spans="1:6" x14ac:dyDescent="0.25">
      <c r="B731" t="s">
        <v>119</v>
      </c>
      <c r="C731">
        <v>3</v>
      </c>
      <c r="D731" t="s">
        <v>69</v>
      </c>
      <c r="E731" s="9">
        <v>23000</v>
      </c>
      <c r="F731" s="9">
        <f t="shared" si="13"/>
        <v>69000</v>
      </c>
    </row>
    <row r="732" spans="1:6" x14ac:dyDescent="0.25">
      <c r="A732" s="8">
        <v>45217</v>
      </c>
      <c r="B732" t="s">
        <v>117</v>
      </c>
      <c r="C732">
        <v>4</v>
      </c>
      <c r="D732" t="s">
        <v>69</v>
      </c>
      <c r="E732" s="9">
        <v>22000</v>
      </c>
      <c r="F732" s="9">
        <f t="shared" si="13"/>
        <v>88000</v>
      </c>
    </row>
    <row r="733" spans="1:6" x14ac:dyDescent="0.25">
      <c r="B733" t="s">
        <v>42</v>
      </c>
      <c r="C733">
        <v>17</v>
      </c>
      <c r="D733" t="s">
        <v>69</v>
      </c>
      <c r="E733" s="9">
        <v>21000</v>
      </c>
      <c r="F733" s="9">
        <f t="shared" si="13"/>
        <v>357000</v>
      </c>
    </row>
    <row r="734" spans="1:6" x14ac:dyDescent="0.25">
      <c r="A734" s="8">
        <v>45218</v>
      </c>
      <c r="B734" t="s">
        <v>85</v>
      </c>
      <c r="C734">
        <v>5</v>
      </c>
      <c r="D734" t="s">
        <v>69</v>
      </c>
      <c r="E734" s="9">
        <v>22000</v>
      </c>
      <c r="F734" s="9">
        <f t="shared" si="13"/>
        <v>110000</v>
      </c>
    </row>
    <row r="735" spans="1:6" x14ac:dyDescent="0.25">
      <c r="B735" t="s">
        <v>64</v>
      </c>
      <c r="C735">
        <v>4</v>
      </c>
      <c r="D735" t="s">
        <v>72</v>
      </c>
      <c r="E735" s="9">
        <v>21000</v>
      </c>
      <c r="F735" s="9">
        <f t="shared" si="13"/>
        <v>84000</v>
      </c>
    </row>
    <row r="736" spans="1:6" x14ac:dyDescent="0.25">
      <c r="B736" t="s">
        <v>82</v>
      </c>
      <c r="C736">
        <v>63</v>
      </c>
      <c r="D736" t="s">
        <v>72</v>
      </c>
      <c r="E736" s="9">
        <v>19000</v>
      </c>
      <c r="F736" s="9">
        <f t="shared" si="13"/>
        <v>1197000</v>
      </c>
    </row>
    <row r="737" spans="1:6" x14ac:dyDescent="0.25">
      <c r="B737" t="s">
        <v>52</v>
      </c>
      <c r="C737">
        <v>7</v>
      </c>
      <c r="D737" t="s">
        <v>71</v>
      </c>
      <c r="E737" s="9">
        <v>19000</v>
      </c>
      <c r="F737" s="9">
        <f t="shared" si="13"/>
        <v>133000</v>
      </c>
    </row>
    <row r="738" spans="1:6" x14ac:dyDescent="0.25">
      <c r="B738" t="s">
        <v>52</v>
      </c>
      <c r="C738">
        <v>15</v>
      </c>
      <c r="D738" t="s">
        <v>69</v>
      </c>
      <c r="E738" s="9">
        <v>21000</v>
      </c>
      <c r="F738" s="9">
        <f t="shared" ref="F738:F801" si="14">+E738*C738</f>
        <v>315000</v>
      </c>
    </row>
    <row r="739" spans="1:6" x14ac:dyDescent="0.25">
      <c r="A739" s="8">
        <v>45219</v>
      </c>
      <c r="B739" t="s">
        <v>42</v>
      </c>
      <c r="C739">
        <v>15</v>
      </c>
      <c r="D739" t="s">
        <v>69</v>
      </c>
      <c r="E739" s="9">
        <v>21000</v>
      </c>
      <c r="F739" s="9">
        <f t="shared" si="14"/>
        <v>315000</v>
      </c>
    </row>
    <row r="740" spans="1:6" x14ac:dyDescent="0.25">
      <c r="B740" t="s">
        <v>52</v>
      </c>
      <c r="C740">
        <v>12</v>
      </c>
      <c r="D740" t="s">
        <v>69</v>
      </c>
      <c r="E740" s="9">
        <v>21000</v>
      </c>
      <c r="F740" s="9">
        <f t="shared" si="14"/>
        <v>252000</v>
      </c>
    </row>
    <row r="741" spans="1:6" x14ac:dyDescent="0.25">
      <c r="B741" t="s">
        <v>73</v>
      </c>
      <c r="C741">
        <v>6</v>
      </c>
      <c r="D741" t="s">
        <v>71</v>
      </c>
      <c r="E741" s="9">
        <v>20000</v>
      </c>
      <c r="F741" s="9">
        <f t="shared" si="14"/>
        <v>120000</v>
      </c>
    </row>
    <row r="742" spans="1:6" x14ac:dyDescent="0.25">
      <c r="B742" t="s">
        <v>87</v>
      </c>
      <c r="C742">
        <v>6</v>
      </c>
      <c r="D742" t="s">
        <v>72</v>
      </c>
      <c r="E742" s="9">
        <v>22000</v>
      </c>
      <c r="F742" s="9">
        <f t="shared" si="14"/>
        <v>132000</v>
      </c>
    </row>
    <row r="743" spans="1:6" x14ac:dyDescent="0.25">
      <c r="B743" t="s">
        <v>121</v>
      </c>
      <c r="C743">
        <v>4</v>
      </c>
      <c r="D743" t="s">
        <v>71</v>
      </c>
      <c r="E743" s="9">
        <v>20000</v>
      </c>
      <c r="F743" s="9">
        <f t="shared" si="14"/>
        <v>80000</v>
      </c>
    </row>
    <row r="744" spans="1:6" x14ac:dyDescent="0.25">
      <c r="A744" s="8">
        <v>45219</v>
      </c>
      <c r="B744" t="s">
        <v>39</v>
      </c>
      <c r="C744">
        <v>25</v>
      </c>
      <c r="D744" t="s">
        <v>72</v>
      </c>
      <c r="E744" s="9">
        <v>20000</v>
      </c>
      <c r="F744" s="9">
        <f t="shared" si="14"/>
        <v>500000</v>
      </c>
    </row>
    <row r="745" spans="1:6" x14ac:dyDescent="0.25">
      <c r="A745" s="8">
        <v>45220</v>
      </c>
      <c r="B745" t="s">
        <v>89</v>
      </c>
      <c r="C745">
        <v>10</v>
      </c>
      <c r="D745" t="s">
        <v>69</v>
      </c>
      <c r="E745" s="9">
        <v>22000</v>
      </c>
      <c r="F745" s="9">
        <f t="shared" si="14"/>
        <v>220000</v>
      </c>
    </row>
    <row r="746" spans="1:6" x14ac:dyDescent="0.25">
      <c r="B746" t="s">
        <v>45</v>
      </c>
      <c r="C746">
        <v>2</v>
      </c>
      <c r="D746" t="s">
        <v>69</v>
      </c>
      <c r="E746" s="9">
        <v>22000</v>
      </c>
      <c r="F746" s="9">
        <f t="shared" si="14"/>
        <v>44000</v>
      </c>
    </row>
    <row r="747" spans="1:6" x14ac:dyDescent="0.25">
      <c r="A747" s="8">
        <v>45222</v>
      </c>
      <c r="B747" t="s">
        <v>117</v>
      </c>
      <c r="C747">
        <v>4</v>
      </c>
      <c r="D747" t="s">
        <v>69</v>
      </c>
      <c r="E747" s="9">
        <v>22000</v>
      </c>
      <c r="F747" s="9">
        <f t="shared" si="14"/>
        <v>88000</v>
      </c>
    </row>
    <row r="748" spans="1:6" x14ac:dyDescent="0.25">
      <c r="B748" t="s">
        <v>119</v>
      </c>
      <c r="C748">
        <v>4</v>
      </c>
      <c r="D748" t="s">
        <v>69</v>
      </c>
      <c r="E748" s="9">
        <v>23000</v>
      </c>
      <c r="F748" s="9">
        <f t="shared" si="14"/>
        <v>92000</v>
      </c>
    </row>
    <row r="749" spans="1:6" x14ac:dyDescent="0.25">
      <c r="B749" t="s">
        <v>52</v>
      </c>
      <c r="C749">
        <v>31</v>
      </c>
      <c r="D749" t="s">
        <v>69</v>
      </c>
      <c r="E749" s="9">
        <v>21000</v>
      </c>
      <c r="F749" s="9">
        <f t="shared" si="14"/>
        <v>651000</v>
      </c>
    </row>
    <row r="750" spans="1:6" x14ac:dyDescent="0.25">
      <c r="B750" t="s">
        <v>52</v>
      </c>
      <c r="C750">
        <v>9</v>
      </c>
      <c r="D750" t="s">
        <v>71</v>
      </c>
      <c r="E750" s="9">
        <v>19000</v>
      </c>
      <c r="F750" s="9">
        <f t="shared" si="14"/>
        <v>171000</v>
      </c>
    </row>
    <row r="751" spans="1:6" x14ac:dyDescent="0.25">
      <c r="B751" t="s">
        <v>82</v>
      </c>
      <c r="C751">
        <v>51</v>
      </c>
      <c r="D751" t="s">
        <v>72</v>
      </c>
      <c r="E751" s="9">
        <v>19000</v>
      </c>
      <c r="F751" s="9">
        <f t="shared" si="14"/>
        <v>969000</v>
      </c>
    </row>
    <row r="752" spans="1:6" x14ac:dyDescent="0.25">
      <c r="B752" t="s">
        <v>101</v>
      </c>
      <c r="C752">
        <v>10</v>
      </c>
      <c r="D752" t="s">
        <v>69</v>
      </c>
      <c r="E752" s="9">
        <v>21000</v>
      </c>
      <c r="F752" s="9">
        <f t="shared" si="14"/>
        <v>210000</v>
      </c>
    </row>
    <row r="753" spans="1:6" x14ac:dyDescent="0.25">
      <c r="B753" t="s">
        <v>126</v>
      </c>
      <c r="C753">
        <v>11</v>
      </c>
      <c r="D753" t="s">
        <v>69</v>
      </c>
      <c r="E753" s="9">
        <v>20000</v>
      </c>
      <c r="F753" s="9">
        <f t="shared" si="14"/>
        <v>220000</v>
      </c>
    </row>
    <row r="754" spans="1:6" x14ac:dyDescent="0.25">
      <c r="A754" s="8">
        <v>45223</v>
      </c>
      <c r="B754" t="s">
        <v>42</v>
      </c>
      <c r="C754">
        <v>20</v>
      </c>
      <c r="D754" t="s">
        <v>69</v>
      </c>
      <c r="E754" s="9">
        <v>21000</v>
      </c>
      <c r="F754" s="9">
        <f t="shared" si="14"/>
        <v>420000</v>
      </c>
    </row>
    <row r="755" spans="1:6" x14ac:dyDescent="0.25">
      <c r="B755" t="s">
        <v>74</v>
      </c>
      <c r="C755">
        <v>3</v>
      </c>
      <c r="D755" t="s">
        <v>69</v>
      </c>
      <c r="E755" s="9">
        <v>25000</v>
      </c>
      <c r="F755" s="9">
        <f t="shared" si="14"/>
        <v>75000</v>
      </c>
    </row>
    <row r="756" spans="1:6" x14ac:dyDescent="0.25">
      <c r="B756" t="s">
        <v>88</v>
      </c>
      <c r="C756">
        <v>4</v>
      </c>
      <c r="D756" t="s">
        <v>72</v>
      </c>
      <c r="E756" s="9">
        <v>22000</v>
      </c>
      <c r="F756" s="9">
        <f t="shared" si="14"/>
        <v>88000</v>
      </c>
    </row>
    <row r="757" spans="1:6" x14ac:dyDescent="0.25">
      <c r="B757" t="s">
        <v>126</v>
      </c>
      <c r="C757">
        <v>33</v>
      </c>
      <c r="D757" t="s">
        <v>72</v>
      </c>
      <c r="E757" s="9">
        <v>20000</v>
      </c>
      <c r="F757" s="9">
        <f t="shared" si="14"/>
        <v>660000</v>
      </c>
    </row>
    <row r="758" spans="1:6" x14ac:dyDescent="0.25">
      <c r="A758" s="8">
        <v>45224</v>
      </c>
      <c r="B758" t="s">
        <v>119</v>
      </c>
      <c r="C758">
        <v>4</v>
      </c>
      <c r="D758" t="s">
        <v>69</v>
      </c>
      <c r="E758" s="9">
        <v>23000</v>
      </c>
      <c r="F758" s="9">
        <f t="shared" si="14"/>
        <v>92000</v>
      </c>
    </row>
    <row r="759" spans="1:6" x14ac:dyDescent="0.25">
      <c r="B759" t="s">
        <v>116</v>
      </c>
      <c r="C759">
        <v>5</v>
      </c>
      <c r="D759" t="s">
        <v>69</v>
      </c>
      <c r="E759" s="9">
        <v>22000</v>
      </c>
      <c r="F759" s="9">
        <f t="shared" si="14"/>
        <v>110000</v>
      </c>
    </row>
    <row r="760" spans="1:6" x14ac:dyDescent="0.25">
      <c r="B760" t="s">
        <v>52</v>
      </c>
      <c r="C760">
        <v>18</v>
      </c>
      <c r="D760" t="s">
        <v>69</v>
      </c>
      <c r="E760" s="9">
        <v>21000</v>
      </c>
      <c r="F760" s="9">
        <f t="shared" si="14"/>
        <v>378000</v>
      </c>
    </row>
    <row r="761" spans="1:6" x14ac:dyDescent="0.25">
      <c r="B761" t="s">
        <v>52</v>
      </c>
      <c r="C761">
        <v>6</v>
      </c>
      <c r="D761" t="s">
        <v>71</v>
      </c>
      <c r="E761" s="9">
        <v>19000</v>
      </c>
      <c r="F761" s="9">
        <f t="shared" si="14"/>
        <v>114000</v>
      </c>
    </row>
    <row r="762" spans="1:6" x14ac:dyDescent="0.25">
      <c r="B762" t="s">
        <v>52</v>
      </c>
      <c r="C762">
        <v>22</v>
      </c>
      <c r="D762" t="s">
        <v>72</v>
      </c>
      <c r="E762" s="9">
        <v>20000</v>
      </c>
      <c r="F762" s="9">
        <f t="shared" si="14"/>
        <v>440000</v>
      </c>
    </row>
    <row r="763" spans="1:6" x14ac:dyDescent="0.25">
      <c r="A763" s="8">
        <v>45225</v>
      </c>
      <c r="B763" t="s">
        <v>80</v>
      </c>
      <c r="C763">
        <v>15</v>
      </c>
      <c r="D763" t="s">
        <v>69</v>
      </c>
      <c r="E763" s="9">
        <v>23000</v>
      </c>
      <c r="F763" s="9">
        <f t="shared" si="14"/>
        <v>345000</v>
      </c>
    </row>
    <row r="764" spans="1:6" x14ac:dyDescent="0.25">
      <c r="B764" t="s">
        <v>117</v>
      </c>
      <c r="C764">
        <v>5</v>
      </c>
      <c r="D764" t="s">
        <v>69</v>
      </c>
      <c r="E764" s="9">
        <v>22000</v>
      </c>
      <c r="F764" s="9">
        <f t="shared" si="14"/>
        <v>110000</v>
      </c>
    </row>
    <row r="765" spans="1:6" x14ac:dyDescent="0.25">
      <c r="B765" t="s">
        <v>73</v>
      </c>
      <c r="C765">
        <v>5</v>
      </c>
      <c r="D765" t="s">
        <v>71</v>
      </c>
      <c r="E765" s="9">
        <v>20000</v>
      </c>
      <c r="F765" s="9">
        <f t="shared" si="14"/>
        <v>100000</v>
      </c>
    </row>
    <row r="766" spans="1:6" x14ac:dyDescent="0.25">
      <c r="B766" t="s">
        <v>87</v>
      </c>
      <c r="C766">
        <v>6</v>
      </c>
      <c r="D766" t="s">
        <v>72</v>
      </c>
      <c r="E766" s="9">
        <v>22000</v>
      </c>
      <c r="F766" s="9">
        <f t="shared" si="14"/>
        <v>132000</v>
      </c>
    </row>
    <row r="767" spans="1:6" x14ac:dyDescent="0.25">
      <c r="B767" t="s">
        <v>120</v>
      </c>
      <c r="C767">
        <v>2</v>
      </c>
      <c r="D767" t="s">
        <v>69</v>
      </c>
      <c r="E767" s="9">
        <v>23000</v>
      </c>
      <c r="F767" s="9">
        <f t="shared" si="14"/>
        <v>46000</v>
      </c>
    </row>
    <row r="768" spans="1:6" x14ac:dyDescent="0.25">
      <c r="A768" s="8">
        <v>45225</v>
      </c>
      <c r="B768" t="s">
        <v>39</v>
      </c>
      <c r="C768">
        <v>30</v>
      </c>
      <c r="D768" t="s">
        <v>72</v>
      </c>
      <c r="E768" s="9">
        <v>20000</v>
      </c>
      <c r="F768" s="9">
        <f t="shared" si="14"/>
        <v>600000</v>
      </c>
    </row>
    <row r="769" spans="1:6" x14ac:dyDescent="0.25">
      <c r="A769" s="8">
        <v>45226</v>
      </c>
      <c r="B769" t="s">
        <v>42</v>
      </c>
      <c r="C769">
        <v>15</v>
      </c>
      <c r="D769" t="s">
        <v>69</v>
      </c>
      <c r="E769" s="9">
        <v>21000</v>
      </c>
      <c r="F769" s="9">
        <f t="shared" si="14"/>
        <v>315000</v>
      </c>
    </row>
    <row r="770" spans="1:6" x14ac:dyDescent="0.25">
      <c r="B770" t="s">
        <v>101</v>
      </c>
      <c r="C770">
        <v>8</v>
      </c>
      <c r="D770" t="s">
        <v>69</v>
      </c>
      <c r="E770" s="9">
        <v>21000</v>
      </c>
      <c r="F770" s="9">
        <f t="shared" si="14"/>
        <v>168000</v>
      </c>
    </row>
    <row r="771" spans="1:6" x14ac:dyDescent="0.25">
      <c r="B771" t="s">
        <v>82</v>
      </c>
      <c r="C771">
        <v>33</v>
      </c>
      <c r="D771" t="s">
        <v>72</v>
      </c>
      <c r="E771" s="9">
        <v>19000</v>
      </c>
      <c r="F771" s="9">
        <f t="shared" si="14"/>
        <v>627000</v>
      </c>
    </row>
    <row r="772" spans="1:6" x14ac:dyDescent="0.25">
      <c r="A772" s="8">
        <v>45227</v>
      </c>
      <c r="B772" t="s">
        <v>42</v>
      </c>
      <c r="C772">
        <v>17</v>
      </c>
      <c r="D772" t="s">
        <v>69</v>
      </c>
      <c r="E772" s="9">
        <v>21000</v>
      </c>
      <c r="F772" s="9">
        <f t="shared" si="14"/>
        <v>357000</v>
      </c>
    </row>
    <row r="773" spans="1:6" x14ac:dyDescent="0.25">
      <c r="A773" s="8">
        <v>45229</v>
      </c>
      <c r="B773" t="s">
        <v>119</v>
      </c>
      <c r="C773">
        <v>7</v>
      </c>
      <c r="D773" t="s">
        <v>69</v>
      </c>
      <c r="E773" s="9">
        <v>23000</v>
      </c>
      <c r="F773" s="9">
        <f t="shared" si="14"/>
        <v>161000</v>
      </c>
    </row>
    <row r="774" spans="1:6" x14ac:dyDescent="0.25">
      <c r="B774" t="s">
        <v>52</v>
      </c>
      <c r="C774">
        <v>22</v>
      </c>
      <c r="D774" t="s">
        <v>69</v>
      </c>
      <c r="E774" s="9">
        <v>21000</v>
      </c>
      <c r="F774" s="9">
        <f t="shared" si="14"/>
        <v>462000</v>
      </c>
    </row>
    <row r="775" spans="1:6" x14ac:dyDescent="0.25">
      <c r="B775" t="s">
        <v>52</v>
      </c>
      <c r="C775">
        <v>13</v>
      </c>
      <c r="D775" t="s">
        <v>71</v>
      </c>
      <c r="E775" s="9">
        <v>19000</v>
      </c>
      <c r="F775" s="9">
        <f t="shared" si="14"/>
        <v>247000</v>
      </c>
    </row>
    <row r="776" spans="1:6" x14ac:dyDescent="0.25">
      <c r="B776" t="s">
        <v>82</v>
      </c>
      <c r="C776">
        <v>72</v>
      </c>
      <c r="D776" t="s">
        <v>72</v>
      </c>
      <c r="E776" s="9">
        <v>19000</v>
      </c>
      <c r="F776" s="9">
        <f t="shared" si="14"/>
        <v>1368000</v>
      </c>
    </row>
    <row r="777" spans="1:6" x14ac:dyDescent="0.25">
      <c r="B777" t="s">
        <v>117</v>
      </c>
      <c r="C777">
        <v>4</v>
      </c>
      <c r="D777" t="s">
        <v>69</v>
      </c>
      <c r="E777" s="9">
        <v>22000</v>
      </c>
      <c r="F777" s="9">
        <f t="shared" si="14"/>
        <v>88000</v>
      </c>
    </row>
    <row r="778" spans="1:6" x14ac:dyDescent="0.25">
      <c r="B778" t="s">
        <v>64</v>
      </c>
      <c r="C778">
        <v>4</v>
      </c>
      <c r="D778" t="s">
        <v>72</v>
      </c>
      <c r="E778" s="9">
        <v>22000</v>
      </c>
      <c r="F778" s="9">
        <f t="shared" si="14"/>
        <v>88000</v>
      </c>
    </row>
    <row r="779" spans="1:6" x14ac:dyDescent="0.25">
      <c r="B779" t="s">
        <v>102</v>
      </c>
      <c r="C779">
        <v>5</v>
      </c>
      <c r="D779" t="s">
        <v>96</v>
      </c>
      <c r="E779" s="9">
        <v>23000</v>
      </c>
      <c r="F779" s="9">
        <f t="shared" si="14"/>
        <v>115000</v>
      </c>
    </row>
    <row r="780" spans="1:6" x14ac:dyDescent="0.25">
      <c r="A780" s="8">
        <v>45230</v>
      </c>
      <c r="B780" t="s">
        <v>85</v>
      </c>
      <c r="C780">
        <v>10</v>
      </c>
      <c r="D780" t="s">
        <v>69</v>
      </c>
      <c r="E780" s="9">
        <v>23000</v>
      </c>
      <c r="F780" s="9">
        <f t="shared" si="14"/>
        <v>230000</v>
      </c>
    </row>
    <row r="781" spans="1:6" x14ac:dyDescent="0.25">
      <c r="B781" t="s">
        <v>121</v>
      </c>
      <c r="C781">
        <v>2</v>
      </c>
      <c r="D781" t="s">
        <v>72</v>
      </c>
      <c r="E781" s="9">
        <v>20000</v>
      </c>
      <c r="F781" s="9">
        <f t="shared" si="14"/>
        <v>40000</v>
      </c>
    </row>
    <row r="782" spans="1:6" x14ac:dyDescent="0.25">
      <c r="B782" t="s">
        <v>42</v>
      </c>
      <c r="C782">
        <v>7</v>
      </c>
      <c r="D782" t="s">
        <v>69</v>
      </c>
      <c r="E782" s="9">
        <v>21000</v>
      </c>
      <c r="F782" s="9">
        <f t="shared" si="14"/>
        <v>147000</v>
      </c>
    </row>
    <row r="783" spans="1:6" x14ac:dyDescent="0.25">
      <c r="B783" t="s">
        <v>116</v>
      </c>
      <c r="C783">
        <v>5</v>
      </c>
      <c r="D783" t="s">
        <v>72</v>
      </c>
      <c r="E783" s="9">
        <v>21000</v>
      </c>
      <c r="F783" s="9">
        <f t="shared" si="14"/>
        <v>105000</v>
      </c>
    </row>
    <row r="784" spans="1:6" x14ac:dyDescent="0.25">
      <c r="B784" t="s">
        <v>101</v>
      </c>
      <c r="C784">
        <v>10</v>
      </c>
      <c r="D784" t="s">
        <v>69</v>
      </c>
      <c r="E784" s="9">
        <v>21000</v>
      </c>
      <c r="F784" s="9">
        <f t="shared" si="14"/>
        <v>210000</v>
      </c>
    </row>
    <row r="785" spans="1:14" x14ac:dyDescent="0.25">
      <c r="B785" t="s">
        <v>73</v>
      </c>
      <c r="C785">
        <v>5</v>
      </c>
      <c r="D785" t="s">
        <v>71</v>
      </c>
      <c r="E785" s="9">
        <v>20000</v>
      </c>
      <c r="F785" s="9">
        <f t="shared" si="14"/>
        <v>100000</v>
      </c>
    </row>
    <row r="786" spans="1:14" s="30" customFormat="1" x14ac:dyDescent="0.25">
      <c r="A786" s="29">
        <v>45231</v>
      </c>
      <c r="B786" s="30" t="s">
        <v>45</v>
      </c>
      <c r="C786" s="30">
        <v>4</v>
      </c>
      <c r="D786" s="30" t="s">
        <v>72</v>
      </c>
      <c r="E786" s="31">
        <v>22000</v>
      </c>
      <c r="F786" s="31">
        <f t="shared" si="14"/>
        <v>88000</v>
      </c>
      <c r="G786" s="31">
        <f>+SUM(F786:F887)/SUM(C786:C887)</f>
        <v>20416.716064018969</v>
      </c>
      <c r="I786" s="36" t="s">
        <v>139</v>
      </c>
      <c r="J786" s="31">
        <v>27</v>
      </c>
      <c r="M786" s="31"/>
    </row>
    <row r="787" spans="1:14" x14ac:dyDescent="0.25">
      <c r="B787" t="s">
        <v>42</v>
      </c>
      <c r="C787">
        <v>22</v>
      </c>
      <c r="D787" t="s">
        <v>69</v>
      </c>
      <c r="E787" s="9">
        <v>21000</v>
      </c>
      <c r="F787" s="9">
        <f t="shared" si="14"/>
        <v>462000</v>
      </c>
      <c r="M787" s="9"/>
    </row>
    <row r="788" spans="1:14" x14ac:dyDescent="0.25">
      <c r="B788" t="s">
        <v>52</v>
      </c>
      <c r="C788">
        <v>25</v>
      </c>
      <c r="D788" t="s">
        <v>72</v>
      </c>
      <c r="E788" s="9">
        <v>20000</v>
      </c>
      <c r="F788" s="9">
        <f t="shared" si="14"/>
        <v>500000</v>
      </c>
      <c r="I788" s="40" t="s">
        <v>144</v>
      </c>
      <c r="J788" s="40"/>
      <c r="L788" s="40" t="s">
        <v>141</v>
      </c>
      <c r="M788" s="40"/>
    </row>
    <row r="789" spans="1:14" x14ac:dyDescent="0.25">
      <c r="B789" t="s">
        <v>52</v>
      </c>
      <c r="C789">
        <v>4</v>
      </c>
      <c r="D789" t="s">
        <v>71</v>
      </c>
      <c r="E789" s="9">
        <v>19000</v>
      </c>
      <c r="F789" s="9">
        <f t="shared" si="14"/>
        <v>76000</v>
      </c>
      <c r="I789" t="s">
        <v>139</v>
      </c>
      <c r="J789" s="17">
        <f>60/100*9*M789*J786</f>
        <v>1093499.9999999998</v>
      </c>
      <c r="L789" t="s">
        <v>140</v>
      </c>
      <c r="M789" s="9">
        <v>7500</v>
      </c>
      <c r="N789" t="s">
        <v>146</v>
      </c>
    </row>
    <row r="790" spans="1:14" x14ac:dyDescent="0.25">
      <c r="B790" t="s">
        <v>107</v>
      </c>
      <c r="C790">
        <v>2</v>
      </c>
      <c r="D790" t="s">
        <v>72</v>
      </c>
      <c r="E790" s="9">
        <v>23000</v>
      </c>
      <c r="F790" s="9">
        <f t="shared" si="14"/>
        <v>46000</v>
      </c>
      <c r="I790" t="s">
        <v>48</v>
      </c>
      <c r="J790" s="9">
        <f>+SUM(C786:C887)*M790</f>
        <v>843500</v>
      </c>
      <c r="L790" t="s">
        <v>48</v>
      </c>
      <c r="M790" s="9">
        <v>500</v>
      </c>
      <c r="N790" t="s">
        <v>147</v>
      </c>
    </row>
    <row r="791" spans="1:14" x14ac:dyDescent="0.25">
      <c r="A791" s="8">
        <v>45233</v>
      </c>
      <c r="B791" t="s">
        <v>42</v>
      </c>
      <c r="C791">
        <v>20</v>
      </c>
      <c r="D791" t="s">
        <v>69</v>
      </c>
      <c r="E791" s="9">
        <v>21000</v>
      </c>
      <c r="F791" s="9">
        <f t="shared" si="14"/>
        <v>420000</v>
      </c>
      <c r="I791" t="s">
        <v>142</v>
      </c>
      <c r="J791" s="9">
        <f>9.5*30*M791</f>
        <v>17955000</v>
      </c>
      <c r="L791" t="s">
        <v>142</v>
      </c>
      <c r="M791" s="9">
        <v>63000</v>
      </c>
      <c r="N791" t="s">
        <v>148</v>
      </c>
    </row>
    <row r="792" spans="1:14" x14ac:dyDescent="0.25">
      <c r="B792" t="s">
        <v>117</v>
      </c>
      <c r="C792">
        <v>4</v>
      </c>
      <c r="D792" t="s">
        <v>69</v>
      </c>
      <c r="E792" s="9">
        <v>22000</v>
      </c>
      <c r="F792" s="9">
        <f t="shared" si="14"/>
        <v>88000</v>
      </c>
      <c r="I792" t="s">
        <v>145</v>
      </c>
      <c r="J792" s="9">
        <f>+M792*30</f>
        <v>1928571.4285714284</v>
      </c>
      <c r="L792" t="s">
        <v>143</v>
      </c>
      <c r="M792" s="9">
        <f>450000/7</f>
        <v>64285.714285714283</v>
      </c>
      <c r="N792" t="s">
        <v>149</v>
      </c>
    </row>
    <row r="793" spans="1:14" x14ac:dyDescent="0.25">
      <c r="B793" t="s">
        <v>119</v>
      </c>
      <c r="C793">
        <v>4</v>
      </c>
      <c r="D793" t="s">
        <v>69</v>
      </c>
      <c r="E793" s="9">
        <v>23000</v>
      </c>
      <c r="F793" s="9">
        <f t="shared" si="14"/>
        <v>92000</v>
      </c>
      <c r="I793" t="s">
        <v>150</v>
      </c>
      <c r="J793" s="9">
        <v>15000</v>
      </c>
      <c r="K793" s="27"/>
      <c r="M793" s="9"/>
    </row>
    <row r="794" spans="1:14" x14ac:dyDescent="0.25">
      <c r="B794" t="s">
        <v>52</v>
      </c>
      <c r="C794">
        <v>70</v>
      </c>
      <c r="D794" t="s">
        <v>72</v>
      </c>
      <c r="E794" s="9">
        <v>19500</v>
      </c>
      <c r="F794" s="9">
        <f t="shared" si="14"/>
        <v>1365000</v>
      </c>
      <c r="I794" t="s">
        <v>151</v>
      </c>
      <c r="J794" s="9">
        <v>150000</v>
      </c>
      <c r="M794" s="9"/>
    </row>
    <row r="795" spans="1:14" x14ac:dyDescent="0.25">
      <c r="A795" s="8">
        <v>45234</v>
      </c>
      <c r="B795" t="s">
        <v>126</v>
      </c>
      <c r="C795">
        <v>7</v>
      </c>
      <c r="D795" t="s">
        <v>72</v>
      </c>
      <c r="E795" s="9">
        <v>20000</v>
      </c>
      <c r="F795" s="9">
        <f t="shared" si="14"/>
        <v>140000</v>
      </c>
      <c r="I795" t="s">
        <v>152</v>
      </c>
      <c r="J795" s="9">
        <f>+SUM(J789:J794)</f>
        <v>21985571.428571429</v>
      </c>
      <c r="M795" s="9"/>
    </row>
    <row r="796" spans="1:14" x14ac:dyDescent="0.25">
      <c r="B796" t="s">
        <v>101</v>
      </c>
      <c r="C796">
        <v>10</v>
      </c>
      <c r="D796" t="s">
        <v>96</v>
      </c>
      <c r="E796" s="9">
        <v>21000</v>
      </c>
      <c r="F796" s="9">
        <f t="shared" si="14"/>
        <v>210000</v>
      </c>
      <c r="M796" s="9"/>
    </row>
    <row r="797" spans="1:14" x14ac:dyDescent="0.25">
      <c r="B797" t="s">
        <v>88</v>
      </c>
      <c r="C797">
        <v>4</v>
      </c>
      <c r="D797" t="s">
        <v>69</v>
      </c>
      <c r="E797" s="9">
        <v>23000</v>
      </c>
      <c r="F797" s="9">
        <f t="shared" si="14"/>
        <v>92000</v>
      </c>
      <c r="I797" t="s">
        <v>153</v>
      </c>
      <c r="J797" s="9">
        <f>+SUM(F786:F887)</f>
        <v>34443000</v>
      </c>
      <c r="M797" s="9"/>
    </row>
    <row r="798" spans="1:14" ht="15.75" thickBot="1" x14ac:dyDescent="0.3">
      <c r="B798" t="s">
        <v>42</v>
      </c>
      <c r="C798">
        <v>10</v>
      </c>
      <c r="D798" t="s">
        <v>69</v>
      </c>
      <c r="E798" s="9">
        <v>21000</v>
      </c>
      <c r="F798" s="9">
        <f t="shared" si="14"/>
        <v>210000</v>
      </c>
      <c r="M798" s="9"/>
    </row>
    <row r="799" spans="1:14" ht="15.75" thickBot="1" x14ac:dyDescent="0.3">
      <c r="A799" s="8">
        <v>45234</v>
      </c>
      <c r="B799" t="s">
        <v>39</v>
      </c>
      <c r="C799">
        <v>25</v>
      </c>
      <c r="D799" t="s">
        <v>72</v>
      </c>
      <c r="E799" s="9">
        <v>20000</v>
      </c>
      <c r="F799" s="9">
        <f t="shared" si="14"/>
        <v>500000</v>
      </c>
      <c r="I799" s="34" t="s">
        <v>155</v>
      </c>
      <c r="J799" s="35">
        <f>+J797-J795</f>
        <v>12457428.571428571</v>
      </c>
      <c r="M799" s="9"/>
    </row>
    <row r="800" spans="1:14" x14ac:dyDescent="0.25">
      <c r="B800" t="s">
        <v>128</v>
      </c>
      <c r="C800">
        <v>4</v>
      </c>
      <c r="D800" t="s">
        <v>69</v>
      </c>
      <c r="E800" s="9">
        <v>23000</v>
      </c>
      <c r="F800" s="9">
        <f t="shared" si="14"/>
        <v>92000</v>
      </c>
      <c r="J800"/>
    </row>
    <row r="801" spans="1:6" x14ac:dyDescent="0.25">
      <c r="B801" t="s">
        <v>39</v>
      </c>
      <c r="C801">
        <v>34</v>
      </c>
      <c r="D801" t="s">
        <v>72</v>
      </c>
      <c r="E801" s="9">
        <v>20000</v>
      </c>
      <c r="F801" s="9">
        <f t="shared" si="14"/>
        <v>680000</v>
      </c>
    </row>
    <row r="802" spans="1:6" x14ac:dyDescent="0.25">
      <c r="A802" s="8">
        <v>45235</v>
      </c>
      <c r="B802" t="s">
        <v>89</v>
      </c>
      <c r="C802">
        <v>10</v>
      </c>
      <c r="D802" t="s">
        <v>69</v>
      </c>
      <c r="E802" s="9">
        <v>22000</v>
      </c>
      <c r="F802" s="9">
        <f t="shared" ref="F802:F865" si="15">+E802*C802</f>
        <v>220000</v>
      </c>
    </row>
    <row r="803" spans="1:6" x14ac:dyDescent="0.25">
      <c r="A803" s="8">
        <v>45236</v>
      </c>
      <c r="B803" t="s">
        <v>87</v>
      </c>
      <c r="C803">
        <v>6</v>
      </c>
      <c r="D803" t="s">
        <v>69</v>
      </c>
      <c r="E803" s="9">
        <v>22000</v>
      </c>
      <c r="F803" s="9">
        <f t="shared" si="15"/>
        <v>132000</v>
      </c>
    </row>
    <row r="804" spans="1:6" x14ac:dyDescent="0.25">
      <c r="B804" t="s">
        <v>117</v>
      </c>
      <c r="C804">
        <v>4</v>
      </c>
      <c r="D804" t="s">
        <v>69</v>
      </c>
      <c r="E804" s="9">
        <v>22000</v>
      </c>
      <c r="F804" s="9">
        <f t="shared" si="15"/>
        <v>88000</v>
      </c>
    </row>
    <row r="805" spans="1:6" x14ac:dyDescent="0.25">
      <c r="B805" t="s">
        <v>52</v>
      </c>
      <c r="C805">
        <v>15</v>
      </c>
      <c r="D805" t="s">
        <v>72</v>
      </c>
      <c r="E805" s="9">
        <v>20000</v>
      </c>
      <c r="F805" s="9">
        <f t="shared" si="15"/>
        <v>300000</v>
      </c>
    </row>
    <row r="806" spans="1:6" x14ac:dyDescent="0.25">
      <c r="B806" t="s">
        <v>52</v>
      </c>
      <c r="C806">
        <v>12</v>
      </c>
      <c r="D806" t="s">
        <v>71</v>
      </c>
      <c r="E806" s="9">
        <v>19000</v>
      </c>
      <c r="F806" s="9">
        <f t="shared" si="15"/>
        <v>228000</v>
      </c>
    </row>
    <row r="807" spans="1:6" x14ac:dyDescent="0.25">
      <c r="B807" t="s">
        <v>42</v>
      </c>
      <c r="C807">
        <v>15</v>
      </c>
      <c r="D807" t="s">
        <v>69</v>
      </c>
      <c r="E807" s="9">
        <v>21000</v>
      </c>
      <c r="F807" s="9">
        <f t="shared" si="15"/>
        <v>315000</v>
      </c>
    </row>
    <row r="808" spans="1:6" x14ac:dyDescent="0.25">
      <c r="B808" t="s">
        <v>126</v>
      </c>
      <c r="C808">
        <v>11</v>
      </c>
      <c r="D808" t="s">
        <v>69</v>
      </c>
      <c r="E808" s="9">
        <v>20000</v>
      </c>
      <c r="F808" s="9">
        <f t="shared" si="15"/>
        <v>220000</v>
      </c>
    </row>
    <row r="809" spans="1:6" x14ac:dyDescent="0.25">
      <c r="B809" t="s">
        <v>82</v>
      </c>
      <c r="C809">
        <v>58</v>
      </c>
      <c r="D809" t="s">
        <v>72</v>
      </c>
      <c r="E809" s="9">
        <v>19500</v>
      </c>
      <c r="F809" s="9">
        <f t="shared" si="15"/>
        <v>1131000</v>
      </c>
    </row>
    <row r="810" spans="1:6" x14ac:dyDescent="0.25">
      <c r="A810" s="8">
        <v>45238</v>
      </c>
      <c r="B810" t="s">
        <v>117</v>
      </c>
      <c r="C810">
        <v>3</v>
      </c>
      <c r="D810" t="s">
        <v>69</v>
      </c>
      <c r="E810" s="9">
        <v>22000</v>
      </c>
      <c r="F810" s="9">
        <f t="shared" si="15"/>
        <v>66000</v>
      </c>
    </row>
    <row r="811" spans="1:6" x14ac:dyDescent="0.25">
      <c r="B811" t="s">
        <v>45</v>
      </c>
      <c r="C811">
        <v>1</v>
      </c>
      <c r="D811" t="s">
        <v>69</v>
      </c>
      <c r="E811" s="9">
        <v>25000</v>
      </c>
      <c r="F811" s="9">
        <f t="shared" si="15"/>
        <v>25000</v>
      </c>
    </row>
    <row r="812" spans="1:6" x14ac:dyDescent="0.25">
      <c r="B812" t="s">
        <v>42</v>
      </c>
      <c r="C812">
        <v>15</v>
      </c>
      <c r="D812" t="s">
        <v>96</v>
      </c>
      <c r="E812" s="9">
        <v>21000</v>
      </c>
      <c r="F812" s="9">
        <f t="shared" si="15"/>
        <v>315000</v>
      </c>
    </row>
    <row r="813" spans="1:6" x14ac:dyDescent="0.25">
      <c r="B813" t="s">
        <v>98</v>
      </c>
      <c r="C813">
        <v>6</v>
      </c>
      <c r="D813" t="s">
        <v>69</v>
      </c>
      <c r="E813" s="9">
        <v>22000</v>
      </c>
      <c r="F813" s="9">
        <f t="shared" si="15"/>
        <v>132000</v>
      </c>
    </row>
    <row r="814" spans="1:6" x14ac:dyDescent="0.25">
      <c r="B814" t="s">
        <v>97</v>
      </c>
      <c r="C814">
        <v>5</v>
      </c>
      <c r="D814" t="s">
        <v>69</v>
      </c>
      <c r="E814" s="9">
        <v>22000</v>
      </c>
      <c r="F814" s="9">
        <f t="shared" si="15"/>
        <v>110000</v>
      </c>
    </row>
    <row r="815" spans="1:6" x14ac:dyDescent="0.25">
      <c r="B815" t="s">
        <v>82</v>
      </c>
      <c r="C815">
        <v>70</v>
      </c>
      <c r="D815" t="s">
        <v>72</v>
      </c>
      <c r="E815" s="9">
        <v>19500</v>
      </c>
      <c r="F815" s="9">
        <f t="shared" si="15"/>
        <v>1365000</v>
      </c>
    </row>
    <row r="816" spans="1:6" x14ac:dyDescent="0.25">
      <c r="B816" t="s">
        <v>73</v>
      </c>
      <c r="C816">
        <v>6</v>
      </c>
      <c r="D816" t="s">
        <v>71</v>
      </c>
      <c r="E816" s="9">
        <v>20000</v>
      </c>
      <c r="F816" s="9">
        <f t="shared" si="15"/>
        <v>120000</v>
      </c>
    </row>
    <row r="817" spans="1:6" x14ac:dyDescent="0.25">
      <c r="A817" s="8">
        <v>45239</v>
      </c>
      <c r="B817" t="s">
        <v>80</v>
      </c>
      <c r="C817">
        <v>15</v>
      </c>
      <c r="D817" t="s">
        <v>69</v>
      </c>
      <c r="E817" s="9">
        <v>23000</v>
      </c>
      <c r="F817" s="9">
        <f t="shared" si="15"/>
        <v>345000</v>
      </c>
    </row>
    <row r="818" spans="1:6" x14ac:dyDescent="0.25">
      <c r="B818" t="s">
        <v>119</v>
      </c>
      <c r="C818">
        <v>4</v>
      </c>
      <c r="D818" t="s">
        <v>69</v>
      </c>
      <c r="E818" s="9">
        <v>23000</v>
      </c>
      <c r="F818" s="9">
        <f t="shared" si="15"/>
        <v>92000</v>
      </c>
    </row>
    <row r="819" spans="1:6" x14ac:dyDescent="0.25">
      <c r="A819" s="8">
        <v>45241</v>
      </c>
      <c r="B819" t="s">
        <v>100</v>
      </c>
      <c r="C819">
        <v>7</v>
      </c>
      <c r="D819" t="s">
        <v>69</v>
      </c>
      <c r="E819" s="9">
        <v>24000</v>
      </c>
      <c r="F819" s="9">
        <f t="shared" si="15"/>
        <v>168000</v>
      </c>
    </row>
    <row r="820" spans="1:6" x14ac:dyDescent="0.25">
      <c r="B820" t="s">
        <v>42</v>
      </c>
      <c r="C820">
        <v>20</v>
      </c>
      <c r="D820" t="s">
        <v>69</v>
      </c>
      <c r="E820" s="9">
        <v>21000</v>
      </c>
      <c r="F820" s="9">
        <f t="shared" si="15"/>
        <v>420000</v>
      </c>
    </row>
    <row r="821" spans="1:6" x14ac:dyDescent="0.25">
      <c r="B821" t="s">
        <v>101</v>
      </c>
      <c r="C821">
        <v>10</v>
      </c>
      <c r="D821" t="s">
        <v>96</v>
      </c>
      <c r="E821" s="9">
        <v>21000</v>
      </c>
      <c r="F821" s="9">
        <f t="shared" si="15"/>
        <v>210000</v>
      </c>
    </row>
    <row r="822" spans="1:6" x14ac:dyDescent="0.25">
      <c r="B822" t="s">
        <v>82</v>
      </c>
      <c r="C822">
        <v>70</v>
      </c>
      <c r="D822" t="s">
        <v>72</v>
      </c>
      <c r="E822" s="9">
        <v>19500</v>
      </c>
      <c r="F822" s="9">
        <f t="shared" si="15"/>
        <v>1365000</v>
      </c>
    </row>
    <row r="823" spans="1:6" x14ac:dyDescent="0.25">
      <c r="B823" t="s">
        <v>116</v>
      </c>
      <c r="C823">
        <v>5</v>
      </c>
      <c r="D823" t="s">
        <v>69</v>
      </c>
      <c r="E823" s="9">
        <v>22000</v>
      </c>
      <c r="F823" s="9">
        <f t="shared" si="15"/>
        <v>110000</v>
      </c>
    </row>
    <row r="824" spans="1:6" x14ac:dyDescent="0.25">
      <c r="A824" s="8">
        <v>45242</v>
      </c>
      <c r="B824" t="s">
        <v>39</v>
      </c>
      <c r="C824">
        <v>25</v>
      </c>
      <c r="D824" t="s">
        <v>72</v>
      </c>
      <c r="E824" s="9">
        <v>20000</v>
      </c>
      <c r="F824" s="9">
        <f t="shared" si="15"/>
        <v>500000</v>
      </c>
    </row>
    <row r="825" spans="1:6" x14ac:dyDescent="0.25">
      <c r="A825" s="8">
        <v>45243</v>
      </c>
      <c r="B825" t="s">
        <v>64</v>
      </c>
      <c r="C825">
        <v>4</v>
      </c>
      <c r="D825" t="s">
        <v>69</v>
      </c>
      <c r="E825" s="9">
        <v>22000</v>
      </c>
      <c r="F825" s="9">
        <f t="shared" si="15"/>
        <v>88000</v>
      </c>
    </row>
    <row r="826" spans="1:6" x14ac:dyDescent="0.25">
      <c r="B826" t="s">
        <v>45</v>
      </c>
      <c r="C826">
        <v>2</v>
      </c>
      <c r="D826" t="s">
        <v>96</v>
      </c>
      <c r="E826" s="9">
        <v>23000</v>
      </c>
      <c r="F826" s="9">
        <f t="shared" si="15"/>
        <v>46000</v>
      </c>
    </row>
    <row r="827" spans="1:6" x14ac:dyDescent="0.25">
      <c r="B827" t="s">
        <v>117</v>
      </c>
      <c r="C827">
        <v>3</v>
      </c>
      <c r="D827" t="s">
        <v>69</v>
      </c>
      <c r="E827" s="9">
        <v>22000</v>
      </c>
      <c r="F827" s="9">
        <f t="shared" si="15"/>
        <v>66000</v>
      </c>
    </row>
    <row r="828" spans="1:6" x14ac:dyDescent="0.25">
      <c r="B828" t="s">
        <v>52</v>
      </c>
      <c r="C828">
        <v>40</v>
      </c>
      <c r="D828" t="s">
        <v>69</v>
      </c>
      <c r="E828" s="9">
        <v>21000</v>
      </c>
      <c r="F828" s="9">
        <f t="shared" si="15"/>
        <v>840000</v>
      </c>
    </row>
    <row r="829" spans="1:6" x14ac:dyDescent="0.25">
      <c r="B829" t="s">
        <v>52</v>
      </c>
      <c r="C829">
        <v>15</v>
      </c>
      <c r="D829" t="s">
        <v>71</v>
      </c>
      <c r="E829" s="9">
        <v>19000</v>
      </c>
      <c r="F829" s="9">
        <f t="shared" si="15"/>
        <v>285000</v>
      </c>
    </row>
    <row r="830" spans="1:6" x14ac:dyDescent="0.25">
      <c r="B830" t="s">
        <v>82</v>
      </c>
      <c r="C830">
        <v>80</v>
      </c>
      <c r="D830" t="s">
        <v>72</v>
      </c>
      <c r="E830" s="9">
        <v>19500</v>
      </c>
      <c r="F830" s="9">
        <f t="shared" si="15"/>
        <v>1560000</v>
      </c>
    </row>
    <row r="831" spans="1:6" x14ac:dyDescent="0.25">
      <c r="B831" t="s">
        <v>87</v>
      </c>
      <c r="C831">
        <v>3</v>
      </c>
      <c r="D831" t="s">
        <v>72</v>
      </c>
      <c r="E831" s="9">
        <v>22000</v>
      </c>
      <c r="F831" s="9">
        <f t="shared" si="15"/>
        <v>66000</v>
      </c>
    </row>
    <row r="832" spans="1:6" x14ac:dyDescent="0.25">
      <c r="A832" s="8">
        <v>45244</v>
      </c>
      <c r="B832" t="s">
        <v>119</v>
      </c>
      <c r="C832">
        <v>4</v>
      </c>
      <c r="D832" t="s">
        <v>69</v>
      </c>
      <c r="E832" s="9">
        <v>23000</v>
      </c>
      <c r="F832" s="9">
        <f t="shared" si="15"/>
        <v>92000</v>
      </c>
    </row>
    <row r="833" spans="1:6" x14ac:dyDescent="0.25">
      <c r="B833" t="s">
        <v>126</v>
      </c>
      <c r="C833">
        <v>28</v>
      </c>
      <c r="D833" t="s">
        <v>72</v>
      </c>
      <c r="E833" s="9">
        <v>20000</v>
      </c>
      <c r="F833" s="9">
        <f t="shared" si="15"/>
        <v>560000</v>
      </c>
    </row>
    <row r="834" spans="1:6" x14ac:dyDescent="0.25">
      <c r="B834" t="s">
        <v>42</v>
      </c>
      <c r="C834">
        <v>15</v>
      </c>
      <c r="D834" t="s">
        <v>69</v>
      </c>
      <c r="E834" s="9">
        <v>21000</v>
      </c>
      <c r="F834" s="9">
        <f t="shared" si="15"/>
        <v>315000</v>
      </c>
    </row>
    <row r="835" spans="1:6" x14ac:dyDescent="0.25">
      <c r="A835" s="8">
        <v>45246</v>
      </c>
      <c r="B835" t="s">
        <v>89</v>
      </c>
      <c r="C835">
        <v>10</v>
      </c>
      <c r="D835" t="s">
        <v>69</v>
      </c>
      <c r="E835" s="9">
        <v>22000</v>
      </c>
      <c r="F835" s="9">
        <f t="shared" si="15"/>
        <v>220000</v>
      </c>
    </row>
    <row r="836" spans="1:6" x14ac:dyDescent="0.25">
      <c r="B836" t="s">
        <v>88</v>
      </c>
      <c r="C836">
        <v>4</v>
      </c>
      <c r="D836" t="s">
        <v>69</v>
      </c>
      <c r="E836" s="9">
        <v>23000</v>
      </c>
      <c r="F836" s="9">
        <f t="shared" si="15"/>
        <v>92000</v>
      </c>
    </row>
    <row r="837" spans="1:6" x14ac:dyDescent="0.25">
      <c r="B837" t="s">
        <v>52</v>
      </c>
      <c r="C837">
        <v>34</v>
      </c>
      <c r="D837" t="s">
        <v>72</v>
      </c>
      <c r="E837" s="9">
        <v>20000</v>
      </c>
      <c r="F837" s="9">
        <f t="shared" si="15"/>
        <v>680000</v>
      </c>
    </row>
    <row r="838" spans="1:6" x14ac:dyDescent="0.25">
      <c r="B838" t="s">
        <v>52</v>
      </c>
      <c r="C838">
        <v>10</v>
      </c>
      <c r="D838" t="s">
        <v>71</v>
      </c>
      <c r="E838" s="9">
        <v>19000</v>
      </c>
      <c r="F838" s="9">
        <f t="shared" si="15"/>
        <v>190000</v>
      </c>
    </row>
    <row r="839" spans="1:6" x14ac:dyDescent="0.25">
      <c r="B839" t="s">
        <v>117</v>
      </c>
      <c r="C839">
        <v>4</v>
      </c>
      <c r="D839" t="s">
        <v>69</v>
      </c>
      <c r="E839" s="9">
        <v>22000</v>
      </c>
      <c r="F839" s="9">
        <f t="shared" si="15"/>
        <v>88000</v>
      </c>
    </row>
    <row r="840" spans="1:6" x14ac:dyDescent="0.25">
      <c r="B840" t="s">
        <v>101</v>
      </c>
      <c r="C840">
        <v>12</v>
      </c>
      <c r="D840" t="s">
        <v>69</v>
      </c>
      <c r="E840" s="9">
        <v>21000</v>
      </c>
      <c r="F840" s="9">
        <f t="shared" si="15"/>
        <v>252000</v>
      </c>
    </row>
    <row r="841" spans="1:6" x14ac:dyDescent="0.25">
      <c r="A841" s="8">
        <v>45247</v>
      </c>
      <c r="B841" t="s">
        <v>73</v>
      </c>
      <c r="C841">
        <v>10</v>
      </c>
      <c r="D841" t="s">
        <v>71</v>
      </c>
      <c r="E841" s="9">
        <v>20000</v>
      </c>
      <c r="F841" s="9">
        <f t="shared" si="15"/>
        <v>200000</v>
      </c>
    </row>
    <row r="842" spans="1:6" x14ac:dyDescent="0.25">
      <c r="A842" s="8">
        <v>45247</v>
      </c>
      <c r="B842" t="s">
        <v>39</v>
      </c>
      <c r="C842">
        <v>25</v>
      </c>
      <c r="D842" t="s">
        <v>72</v>
      </c>
      <c r="E842" s="9">
        <v>20000</v>
      </c>
      <c r="F842" s="9">
        <f t="shared" si="15"/>
        <v>500000</v>
      </c>
    </row>
    <row r="843" spans="1:6" x14ac:dyDescent="0.25">
      <c r="B843" t="s">
        <v>87</v>
      </c>
      <c r="C843">
        <v>6</v>
      </c>
      <c r="D843" t="s">
        <v>69</v>
      </c>
      <c r="E843" s="9">
        <v>22000</v>
      </c>
      <c r="F843" s="9">
        <f t="shared" si="15"/>
        <v>132000</v>
      </c>
    </row>
    <row r="844" spans="1:6" x14ac:dyDescent="0.25">
      <c r="A844" s="8">
        <v>45247</v>
      </c>
      <c r="B844" t="s">
        <v>80</v>
      </c>
      <c r="C844">
        <v>15</v>
      </c>
      <c r="D844" t="s">
        <v>72</v>
      </c>
      <c r="E844" s="9">
        <v>23000</v>
      </c>
      <c r="F844" s="9">
        <f t="shared" si="15"/>
        <v>345000</v>
      </c>
    </row>
    <row r="845" spans="1:6" x14ac:dyDescent="0.25">
      <c r="B845" t="s">
        <v>116</v>
      </c>
      <c r="C845">
        <v>7</v>
      </c>
      <c r="D845" t="s">
        <v>69</v>
      </c>
      <c r="E845" s="9">
        <v>22000</v>
      </c>
      <c r="F845" s="9">
        <f t="shared" si="15"/>
        <v>154000</v>
      </c>
    </row>
    <row r="846" spans="1:6" x14ac:dyDescent="0.25">
      <c r="B846" t="s">
        <v>98</v>
      </c>
      <c r="C846">
        <v>10</v>
      </c>
      <c r="D846" t="s">
        <v>72</v>
      </c>
      <c r="E846" s="9">
        <v>21000</v>
      </c>
      <c r="F846" s="9">
        <f t="shared" si="15"/>
        <v>210000</v>
      </c>
    </row>
    <row r="847" spans="1:6" x14ac:dyDescent="0.25">
      <c r="B847" t="s">
        <v>42</v>
      </c>
      <c r="C847">
        <v>15</v>
      </c>
      <c r="D847" t="s">
        <v>69</v>
      </c>
      <c r="E847" s="9">
        <v>21000</v>
      </c>
      <c r="F847" s="9">
        <f t="shared" si="15"/>
        <v>315000</v>
      </c>
    </row>
    <row r="848" spans="1:6" x14ac:dyDescent="0.25">
      <c r="B848" t="s">
        <v>52</v>
      </c>
      <c r="C848">
        <v>10</v>
      </c>
      <c r="D848" t="s">
        <v>72</v>
      </c>
      <c r="E848" s="9">
        <v>20000</v>
      </c>
      <c r="F848" s="9">
        <f t="shared" si="15"/>
        <v>200000</v>
      </c>
    </row>
    <row r="849" spans="1:6" x14ac:dyDescent="0.25">
      <c r="B849" t="s">
        <v>129</v>
      </c>
      <c r="C849">
        <v>10</v>
      </c>
      <c r="D849" t="s">
        <v>71</v>
      </c>
      <c r="E849" s="9">
        <v>20000</v>
      </c>
      <c r="F849" s="9">
        <f t="shared" si="15"/>
        <v>200000</v>
      </c>
    </row>
    <row r="850" spans="1:6" x14ac:dyDescent="0.25">
      <c r="A850" s="8">
        <v>45248</v>
      </c>
      <c r="B850" t="s">
        <v>42</v>
      </c>
      <c r="C850">
        <v>12</v>
      </c>
      <c r="D850" t="s">
        <v>69</v>
      </c>
      <c r="E850" s="9">
        <v>21000</v>
      </c>
      <c r="F850" s="9">
        <f t="shared" si="15"/>
        <v>252000</v>
      </c>
    </row>
    <row r="851" spans="1:6" x14ac:dyDescent="0.25">
      <c r="A851" s="8">
        <v>45250</v>
      </c>
      <c r="B851" t="s">
        <v>52</v>
      </c>
      <c r="C851">
        <v>15</v>
      </c>
      <c r="D851" t="s">
        <v>69</v>
      </c>
      <c r="E851" s="9">
        <v>21000</v>
      </c>
      <c r="F851" s="9">
        <f t="shared" si="15"/>
        <v>315000</v>
      </c>
    </row>
    <row r="852" spans="1:6" x14ac:dyDescent="0.25">
      <c r="B852" t="s">
        <v>52</v>
      </c>
      <c r="C852">
        <v>60</v>
      </c>
      <c r="D852" t="s">
        <v>72</v>
      </c>
      <c r="E852" s="9">
        <v>20000</v>
      </c>
      <c r="F852" s="9">
        <f t="shared" si="15"/>
        <v>1200000</v>
      </c>
    </row>
    <row r="853" spans="1:6" x14ac:dyDescent="0.25">
      <c r="B853" t="s">
        <v>119</v>
      </c>
      <c r="C853">
        <v>5</v>
      </c>
      <c r="D853" t="s">
        <v>69</v>
      </c>
      <c r="E853" s="9">
        <v>23000</v>
      </c>
      <c r="F853" s="9">
        <f t="shared" si="15"/>
        <v>115000</v>
      </c>
    </row>
    <row r="854" spans="1:6" x14ac:dyDescent="0.25">
      <c r="B854" t="s">
        <v>126</v>
      </c>
      <c r="C854">
        <v>11</v>
      </c>
      <c r="D854" t="s">
        <v>72</v>
      </c>
      <c r="E854" s="9">
        <v>20000</v>
      </c>
      <c r="F854" s="9">
        <f t="shared" si="15"/>
        <v>220000</v>
      </c>
    </row>
    <row r="855" spans="1:6" x14ac:dyDescent="0.25">
      <c r="B855" t="s">
        <v>117</v>
      </c>
      <c r="C855">
        <v>3</v>
      </c>
      <c r="D855" t="s">
        <v>69</v>
      </c>
      <c r="E855" s="9">
        <v>22000</v>
      </c>
      <c r="F855" s="9">
        <f t="shared" si="15"/>
        <v>66000</v>
      </c>
    </row>
    <row r="856" spans="1:6" x14ac:dyDescent="0.25">
      <c r="B856" t="s">
        <v>97</v>
      </c>
      <c r="C856">
        <v>10</v>
      </c>
      <c r="D856" t="s">
        <v>71</v>
      </c>
      <c r="E856" s="9">
        <v>20000</v>
      </c>
      <c r="F856" s="9">
        <f t="shared" si="15"/>
        <v>200000</v>
      </c>
    </row>
    <row r="857" spans="1:6" x14ac:dyDescent="0.25">
      <c r="A857" s="8">
        <v>45251</v>
      </c>
      <c r="B857" t="s">
        <v>85</v>
      </c>
      <c r="C857">
        <v>8</v>
      </c>
      <c r="D857" t="s">
        <v>69</v>
      </c>
      <c r="E857" s="9">
        <v>23000</v>
      </c>
      <c r="F857" s="9">
        <f t="shared" si="15"/>
        <v>184000</v>
      </c>
    </row>
    <row r="858" spans="1:6" x14ac:dyDescent="0.25">
      <c r="A858" s="8">
        <v>45252</v>
      </c>
      <c r="B858" t="s">
        <v>39</v>
      </c>
      <c r="C858">
        <v>37</v>
      </c>
      <c r="D858" t="s">
        <v>72</v>
      </c>
      <c r="E858" s="9">
        <v>20000</v>
      </c>
      <c r="F858" s="9">
        <f t="shared" si="15"/>
        <v>740000</v>
      </c>
    </row>
    <row r="859" spans="1:6" x14ac:dyDescent="0.25">
      <c r="A859" s="8">
        <v>45252</v>
      </c>
      <c r="B859" t="s">
        <v>101</v>
      </c>
      <c r="C859">
        <v>10</v>
      </c>
      <c r="D859" t="s">
        <v>69</v>
      </c>
      <c r="E859" s="9">
        <v>21000</v>
      </c>
      <c r="F859" s="9">
        <f t="shared" si="15"/>
        <v>210000</v>
      </c>
    </row>
    <row r="860" spans="1:6" x14ac:dyDescent="0.25">
      <c r="B860" t="s">
        <v>42</v>
      </c>
      <c r="C860">
        <v>12</v>
      </c>
      <c r="D860" t="s">
        <v>69</v>
      </c>
      <c r="E860" s="9">
        <v>21000</v>
      </c>
      <c r="F860" s="9">
        <f t="shared" si="15"/>
        <v>252000</v>
      </c>
    </row>
    <row r="861" spans="1:6" x14ac:dyDescent="0.25">
      <c r="B861" t="s">
        <v>82</v>
      </c>
      <c r="C861">
        <v>46</v>
      </c>
      <c r="D861" t="s">
        <v>72</v>
      </c>
      <c r="E861" s="9">
        <v>20000</v>
      </c>
      <c r="F861" s="9">
        <f t="shared" si="15"/>
        <v>920000</v>
      </c>
    </row>
    <row r="862" spans="1:6" x14ac:dyDescent="0.25">
      <c r="B862" t="s">
        <v>102</v>
      </c>
      <c r="C862">
        <v>4</v>
      </c>
      <c r="D862" t="s">
        <v>96</v>
      </c>
      <c r="E862" s="9">
        <v>23000</v>
      </c>
      <c r="F862" s="9">
        <f t="shared" si="15"/>
        <v>92000</v>
      </c>
    </row>
    <row r="863" spans="1:6" x14ac:dyDescent="0.25">
      <c r="A863" s="8">
        <v>45254</v>
      </c>
      <c r="B863" t="s">
        <v>89</v>
      </c>
      <c r="C863">
        <v>10</v>
      </c>
      <c r="D863" t="s">
        <v>69</v>
      </c>
      <c r="E863" s="9">
        <v>22000</v>
      </c>
      <c r="F863" s="9">
        <f t="shared" si="15"/>
        <v>220000</v>
      </c>
    </row>
    <row r="864" spans="1:6" x14ac:dyDescent="0.25">
      <c r="B864" t="s">
        <v>52</v>
      </c>
      <c r="C864">
        <v>50</v>
      </c>
      <c r="D864" t="s">
        <v>72</v>
      </c>
      <c r="E864" s="9">
        <v>20000</v>
      </c>
      <c r="F864" s="9">
        <f t="shared" si="15"/>
        <v>1000000</v>
      </c>
    </row>
    <row r="865" spans="1:6" x14ac:dyDescent="0.25">
      <c r="C865">
        <v>4</v>
      </c>
      <c r="D865" t="s">
        <v>72</v>
      </c>
      <c r="E865" s="9">
        <v>21000</v>
      </c>
      <c r="F865" s="9">
        <f t="shared" si="15"/>
        <v>84000</v>
      </c>
    </row>
    <row r="866" spans="1:6" x14ac:dyDescent="0.25">
      <c r="B866" t="s">
        <v>124</v>
      </c>
      <c r="C866">
        <v>14</v>
      </c>
      <c r="D866" t="s">
        <v>71</v>
      </c>
      <c r="E866" s="9">
        <v>20000</v>
      </c>
      <c r="F866" s="9">
        <f t="shared" ref="F866:F929" si="16">+E866*C866</f>
        <v>280000</v>
      </c>
    </row>
    <row r="867" spans="1:6" x14ac:dyDescent="0.25">
      <c r="B867" t="s">
        <v>42</v>
      </c>
      <c r="C867">
        <v>17</v>
      </c>
      <c r="D867" t="s">
        <v>69</v>
      </c>
      <c r="E867" s="9">
        <v>21000</v>
      </c>
      <c r="F867" s="9">
        <f t="shared" si="16"/>
        <v>357000</v>
      </c>
    </row>
    <row r="868" spans="1:6" x14ac:dyDescent="0.25">
      <c r="B868" t="s">
        <v>117</v>
      </c>
      <c r="C868">
        <v>3</v>
      </c>
      <c r="D868" t="s">
        <v>69</v>
      </c>
      <c r="E868" s="9">
        <v>22000</v>
      </c>
      <c r="F868" s="9">
        <f t="shared" si="16"/>
        <v>66000</v>
      </c>
    </row>
    <row r="869" spans="1:6" x14ac:dyDescent="0.25">
      <c r="B869" t="s">
        <v>45</v>
      </c>
      <c r="C869">
        <v>4</v>
      </c>
      <c r="D869" t="s">
        <v>69</v>
      </c>
      <c r="E869" s="9">
        <v>23000</v>
      </c>
      <c r="F869" s="9">
        <f t="shared" si="16"/>
        <v>92000</v>
      </c>
    </row>
    <row r="870" spans="1:6" x14ac:dyDescent="0.25">
      <c r="A870" s="8">
        <v>45255</v>
      </c>
      <c r="B870" t="s">
        <v>82</v>
      </c>
      <c r="C870">
        <v>54</v>
      </c>
      <c r="D870" t="s">
        <v>72</v>
      </c>
      <c r="E870" s="9">
        <v>20000</v>
      </c>
      <c r="F870" s="9">
        <f t="shared" si="16"/>
        <v>1080000</v>
      </c>
    </row>
    <row r="871" spans="1:6" x14ac:dyDescent="0.25">
      <c r="A871" s="8">
        <v>45256</v>
      </c>
      <c r="B871" t="s">
        <v>39</v>
      </c>
      <c r="C871">
        <v>35</v>
      </c>
      <c r="D871" t="s">
        <v>72</v>
      </c>
      <c r="E871" s="9">
        <v>20000</v>
      </c>
      <c r="F871" s="9">
        <f t="shared" si="16"/>
        <v>700000</v>
      </c>
    </row>
    <row r="872" spans="1:6" x14ac:dyDescent="0.25">
      <c r="B872" t="s">
        <v>87</v>
      </c>
      <c r="C872">
        <v>10</v>
      </c>
      <c r="D872" t="s">
        <v>72</v>
      </c>
      <c r="E872" s="9">
        <v>22000</v>
      </c>
      <c r="F872" s="9">
        <f t="shared" si="16"/>
        <v>220000</v>
      </c>
    </row>
    <row r="873" spans="1:6" x14ac:dyDescent="0.25">
      <c r="A873" s="8">
        <v>45257</v>
      </c>
      <c r="B873" t="s">
        <v>101</v>
      </c>
      <c r="C873">
        <v>10</v>
      </c>
      <c r="D873" t="s">
        <v>69</v>
      </c>
      <c r="E873" s="9">
        <v>21000</v>
      </c>
      <c r="F873" s="9">
        <f t="shared" si="16"/>
        <v>210000</v>
      </c>
    </row>
    <row r="874" spans="1:6" x14ac:dyDescent="0.25">
      <c r="B874" t="s">
        <v>119</v>
      </c>
      <c r="C874">
        <v>4</v>
      </c>
      <c r="D874" t="s">
        <v>69</v>
      </c>
      <c r="E874" s="9">
        <v>23000</v>
      </c>
      <c r="F874" s="9">
        <f t="shared" si="16"/>
        <v>92000</v>
      </c>
    </row>
    <row r="875" spans="1:6" x14ac:dyDescent="0.25">
      <c r="B875" t="s">
        <v>42</v>
      </c>
      <c r="C875">
        <v>20</v>
      </c>
      <c r="D875" t="s">
        <v>69</v>
      </c>
      <c r="E875" s="9">
        <v>21000</v>
      </c>
      <c r="F875" s="9">
        <f t="shared" si="16"/>
        <v>420000</v>
      </c>
    </row>
    <row r="876" spans="1:6" x14ac:dyDescent="0.25">
      <c r="B876" t="s">
        <v>116</v>
      </c>
      <c r="C876">
        <v>5</v>
      </c>
      <c r="D876" t="s">
        <v>69</v>
      </c>
      <c r="E876" s="9">
        <v>22000</v>
      </c>
      <c r="F876" s="9">
        <f t="shared" si="16"/>
        <v>110000</v>
      </c>
    </row>
    <row r="877" spans="1:6" x14ac:dyDescent="0.25">
      <c r="B877" t="s">
        <v>82</v>
      </c>
      <c r="C877">
        <v>36</v>
      </c>
      <c r="D877" t="s">
        <v>72</v>
      </c>
      <c r="E877" s="9">
        <v>20000</v>
      </c>
      <c r="F877" s="9">
        <f t="shared" si="16"/>
        <v>720000</v>
      </c>
    </row>
    <row r="878" spans="1:6" x14ac:dyDescent="0.25">
      <c r="A878" s="8">
        <v>45259</v>
      </c>
      <c r="B878" t="s">
        <v>88</v>
      </c>
      <c r="C878">
        <v>4</v>
      </c>
      <c r="D878" t="s">
        <v>69</v>
      </c>
      <c r="E878" s="9">
        <v>23000</v>
      </c>
      <c r="F878" s="9">
        <f t="shared" si="16"/>
        <v>92000</v>
      </c>
    </row>
    <row r="879" spans="1:6" x14ac:dyDescent="0.25">
      <c r="B879" t="s">
        <v>98</v>
      </c>
      <c r="C879">
        <v>8</v>
      </c>
      <c r="D879" t="s">
        <v>71</v>
      </c>
      <c r="E879" s="9">
        <v>20000</v>
      </c>
      <c r="F879" s="9">
        <f t="shared" si="16"/>
        <v>160000</v>
      </c>
    </row>
    <row r="880" spans="1:6" x14ac:dyDescent="0.25">
      <c r="B880" t="s">
        <v>52</v>
      </c>
      <c r="C880">
        <v>40</v>
      </c>
      <c r="D880" t="s">
        <v>72</v>
      </c>
      <c r="E880" s="9">
        <v>20000</v>
      </c>
      <c r="F880" s="9">
        <f t="shared" si="16"/>
        <v>800000</v>
      </c>
    </row>
    <row r="881" spans="1:14" x14ac:dyDescent="0.25">
      <c r="B881" t="s">
        <v>82</v>
      </c>
      <c r="C881">
        <v>50</v>
      </c>
      <c r="D881" t="s">
        <v>72</v>
      </c>
      <c r="E881" s="9">
        <v>20000</v>
      </c>
      <c r="F881" s="9">
        <f t="shared" si="16"/>
        <v>1000000</v>
      </c>
    </row>
    <row r="882" spans="1:14" x14ac:dyDescent="0.25">
      <c r="B882" t="s">
        <v>113</v>
      </c>
      <c r="C882">
        <v>3</v>
      </c>
      <c r="D882" t="s">
        <v>69</v>
      </c>
      <c r="E882" s="9">
        <v>23000</v>
      </c>
      <c r="F882" s="9">
        <f t="shared" si="16"/>
        <v>69000</v>
      </c>
    </row>
    <row r="883" spans="1:14" x14ac:dyDescent="0.25">
      <c r="C883">
        <v>1</v>
      </c>
      <c r="D883" t="s">
        <v>69</v>
      </c>
      <c r="E883" s="9">
        <v>23000</v>
      </c>
      <c r="F883" s="9">
        <f t="shared" si="16"/>
        <v>23000</v>
      </c>
    </row>
    <row r="884" spans="1:14" x14ac:dyDescent="0.25">
      <c r="A884" s="8">
        <v>45260</v>
      </c>
      <c r="B884" t="s">
        <v>80</v>
      </c>
      <c r="C884">
        <v>15</v>
      </c>
      <c r="D884" t="s">
        <v>72</v>
      </c>
      <c r="E884" s="9">
        <v>23000</v>
      </c>
      <c r="F884" s="9">
        <f t="shared" si="16"/>
        <v>345000</v>
      </c>
    </row>
    <row r="885" spans="1:14" x14ac:dyDescent="0.25">
      <c r="B885" t="s">
        <v>42</v>
      </c>
      <c r="C885">
        <v>15</v>
      </c>
      <c r="D885" t="s">
        <v>69</v>
      </c>
      <c r="E885" s="9">
        <v>21000</v>
      </c>
      <c r="F885" s="9">
        <f t="shared" si="16"/>
        <v>315000</v>
      </c>
    </row>
    <row r="886" spans="1:14" x14ac:dyDescent="0.25">
      <c r="B886" t="s">
        <v>86</v>
      </c>
      <c r="C886">
        <v>4</v>
      </c>
      <c r="D886" t="s">
        <v>72</v>
      </c>
      <c r="E886" s="9">
        <v>22000</v>
      </c>
      <c r="F886" s="9">
        <f t="shared" si="16"/>
        <v>88000</v>
      </c>
    </row>
    <row r="887" spans="1:14" x14ac:dyDescent="0.25">
      <c r="B887" t="s">
        <v>52</v>
      </c>
      <c r="C887">
        <v>20</v>
      </c>
      <c r="D887" t="s">
        <v>72</v>
      </c>
      <c r="E887" s="9">
        <v>20000</v>
      </c>
      <c r="F887" s="9">
        <f t="shared" si="16"/>
        <v>400000</v>
      </c>
    </row>
    <row r="888" spans="1:14" s="30" customFormat="1" x14ac:dyDescent="0.25">
      <c r="A888" s="29">
        <v>45261</v>
      </c>
      <c r="B888" s="30" t="s">
        <v>74</v>
      </c>
      <c r="C888" s="30">
        <v>2</v>
      </c>
      <c r="D888" s="30" t="s">
        <v>69</v>
      </c>
      <c r="E888" s="31">
        <v>25000</v>
      </c>
      <c r="F888" s="31">
        <f t="shared" si="16"/>
        <v>50000</v>
      </c>
      <c r="G888" s="31">
        <f>+SUM(F888:F986)/SUM(C888:C986)</f>
        <v>20504.106127605814</v>
      </c>
      <c r="I888" s="36" t="s">
        <v>139</v>
      </c>
      <c r="J888" s="31">
        <v>28</v>
      </c>
      <c r="M888" s="31"/>
    </row>
    <row r="889" spans="1:14" x14ac:dyDescent="0.25">
      <c r="B889" t="s">
        <v>117</v>
      </c>
      <c r="C889">
        <v>5</v>
      </c>
      <c r="D889" t="s">
        <v>69</v>
      </c>
      <c r="E889" s="9">
        <v>22000</v>
      </c>
      <c r="F889" s="9">
        <f t="shared" si="16"/>
        <v>110000</v>
      </c>
      <c r="M889" s="9"/>
    </row>
    <row r="890" spans="1:14" x14ac:dyDescent="0.25">
      <c r="B890" t="s">
        <v>130</v>
      </c>
      <c r="C890">
        <v>10</v>
      </c>
      <c r="D890" t="s">
        <v>72</v>
      </c>
      <c r="E890" s="9">
        <v>20000</v>
      </c>
      <c r="F890" s="9">
        <f t="shared" si="16"/>
        <v>200000</v>
      </c>
      <c r="I890" s="40" t="s">
        <v>144</v>
      </c>
      <c r="J890" s="40"/>
      <c r="L890" s="40" t="s">
        <v>141</v>
      </c>
      <c r="M890" s="40"/>
    </row>
    <row r="891" spans="1:14" x14ac:dyDescent="0.25">
      <c r="B891" t="s">
        <v>119</v>
      </c>
      <c r="C891">
        <v>4</v>
      </c>
      <c r="D891" t="s">
        <v>69</v>
      </c>
      <c r="E891" s="9">
        <v>23000</v>
      </c>
      <c r="F891" s="9">
        <f t="shared" si="16"/>
        <v>92000</v>
      </c>
      <c r="I891" t="s">
        <v>139</v>
      </c>
      <c r="J891" s="17">
        <f>60/100*9*M891*J888</f>
        <v>1133999.9999999998</v>
      </c>
      <c r="L891" t="s">
        <v>140</v>
      </c>
      <c r="M891" s="9">
        <v>7500</v>
      </c>
      <c r="N891" t="s">
        <v>146</v>
      </c>
    </row>
    <row r="892" spans="1:14" x14ac:dyDescent="0.25">
      <c r="B892" t="s">
        <v>82</v>
      </c>
      <c r="C892">
        <v>29</v>
      </c>
      <c r="D892" t="s">
        <v>72</v>
      </c>
      <c r="E892" s="9">
        <v>20000</v>
      </c>
      <c r="F892" s="9">
        <f t="shared" si="16"/>
        <v>580000</v>
      </c>
      <c r="I892" t="s">
        <v>48</v>
      </c>
      <c r="J892" s="9">
        <f>+SUM(C888:C986)*M892</f>
        <v>791500</v>
      </c>
      <c r="L892" t="s">
        <v>48</v>
      </c>
      <c r="M892" s="9">
        <v>500</v>
      </c>
      <c r="N892" t="s">
        <v>147</v>
      </c>
    </row>
    <row r="893" spans="1:14" x14ac:dyDescent="0.25">
      <c r="B893" t="s">
        <v>129</v>
      </c>
      <c r="C893">
        <v>10</v>
      </c>
      <c r="D893" t="s">
        <v>71</v>
      </c>
      <c r="E893" s="9">
        <v>20000</v>
      </c>
      <c r="F893" s="9">
        <f t="shared" si="16"/>
        <v>200000</v>
      </c>
      <c r="I893" t="s">
        <v>142</v>
      </c>
      <c r="J893" s="9">
        <f>9.5*31*M893</f>
        <v>18553500</v>
      </c>
      <c r="L893" t="s">
        <v>142</v>
      </c>
      <c r="M893" s="9">
        <v>63000</v>
      </c>
      <c r="N893" t="s">
        <v>148</v>
      </c>
    </row>
    <row r="894" spans="1:14" x14ac:dyDescent="0.25">
      <c r="B894" t="s">
        <v>94</v>
      </c>
      <c r="C894">
        <v>2</v>
      </c>
      <c r="D894" t="s">
        <v>69</v>
      </c>
      <c r="E894" s="9">
        <v>23000</v>
      </c>
      <c r="F894" s="9">
        <f t="shared" si="16"/>
        <v>46000</v>
      </c>
      <c r="I894" t="s">
        <v>145</v>
      </c>
      <c r="J894" s="9">
        <f>+M894*31</f>
        <v>3144285.7142857146</v>
      </c>
      <c r="L894" t="s">
        <v>143</v>
      </c>
      <c r="M894" s="9">
        <f>500000/7+30000</f>
        <v>101428.57142857143</v>
      </c>
      <c r="N894" t="s">
        <v>149</v>
      </c>
    </row>
    <row r="895" spans="1:14" x14ac:dyDescent="0.25">
      <c r="A895" s="8">
        <v>45262</v>
      </c>
      <c r="B895" t="s">
        <v>87</v>
      </c>
      <c r="C895">
        <v>6</v>
      </c>
      <c r="D895" t="s">
        <v>72</v>
      </c>
      <c r="E895" s="9">
        <v>22000</v>
      </c>
      <c r="F895" s="9">
        <f t="shared" si="16"/>
        <v>132000</v>
      </c>
      <c r="I895" t="s">
        <v>150</v>
      </c>
      <c r="J895" s="9">
        <v>15000</v>
      </c>
      <c r="K895" s="27"/>
      <c r="M895" s="9"/>
    </row>
    <row r="896" spans="1:14" x14ac:dyDescent="0.25">
      <c r="B896" t="s">
        <v>102</v>
      </c>
      <c r="C896">
        <v>7</v>
      </c>
      <c r="D896" t="s">
        <v>69</v>
      </c>
      <c r="E896" s="9">
        <v>23000</v>
      </c>
      <c r="F896" s="9">
        <f t="shared" si="16"/>
        <v>161000</v>
      </c>
      <c r="I896" t="s">
        <v>151</v>
      </c>
      <c r="J896" s="9">
        <v>150000</v>
      </c>
      <c r="M896" s="9"/>
    </row>
    <row r="897" spans="1:13" x14ac:dyDescent="0.25">
      <c r="A897" s="8">
        <v>45262</v>
      </c>
      <c r="B897" t="s">
        <v>39</v>
      </c>
      <c r="C897">
        <v>25</v>
      </c>
      <c r="D897" t="s">
        <v>72</v>
      </c>
      <c r="E897" s="9">
        <v>20000</v>
      </c>
      <c r="F897" s="9">
        <f t="shared" si="16"/>
        <v>500000</v>
      </c>
      <c r="I897" t="s">
        <v>152</v>
      </c>
      <c r="J897" s="9">
        <f>+SUM(J891:J896)</f>
        <v>23788285.714285716</v>
      </c>
      <c r="M897" s="9"/>
    </row>
    <row r="898" spans="1:13" x14ac:dyDescent="0.25">
      <c r="B898" t="s">
        <v>101</v>
      </c>
      <c r="C898">
        <v>12</v>
      </c>
      <c r="D898" t="s">
        <v>69</v>
      </c>
      <c r="E898" s="9">
        <v>21000</v>
      </c>
      <c r="F898" s="9">
        <f t="shared" si="16"/>
        <v>252000</v>
      </c>
      <c r="M898" s="9"/>
    </row>
    <row r="899" spans="1:13" x14ac:dyDescent="0.25">
      <c r="A899" s="8">
        <v>45263</v>
      </c>
      <c r="B899" t="s">
        <v>100</v>
      </c>
      <c r="C899">
        <v>6</v>
      </c>
      <c r="D899" t="s">
        <v>69</v>
      </c>
      <c r="E899" s="9">
        <v>24000</v>
      </c>
      <c r="F899" s="9">
        <f t="shared" si="16"/>
        <v>144000</v>
      </c>
      <c r="I899" t="s">
        <v>153</v>
      </c>
      <c r="J899" s="9">
        <f>+SUM(F888:F986)</f>
        <v>32458000</v>
      </c>
      <c r="M899" s="9"/>
    </row>
    <row r="900" spans="1:13" ht="15.75" thickBot="1" x14ac:dyDescent="0.3">
      <c r="A900" s="8">
        <v>45265</v>
      </c>
      <c r="B900" t="s">
        <v>42</v>
      </c>
      <c r="C900">
        <v>20</v>
      </c>
      <c r="D900" t="s">
        <v>69</v>
      </c>
      <c r="E900" s="9">
        <v>21000</v>
      </c>
      <c r="F900" s="9">
        <f t="shared" si="16"/>
        <v>420000</v>
      </c>
      <c r="M900" s="9"/>
    </row>
    <row r="901" spans="1:13" ht="15.75" thickBot="1" x14ac:dyDescent="0.3">
      <c r="B901" t="s">
        <v>116</v>
      </c>
      <c r="C901">
        <v>5</v>
      </c>
      <c r="D901" t="s">
        <v>69</v>
      </c>
      <c r="E901" s="9">
        <v>22000</v>
      </c>
      <c r="F901" s="9">
        <f t="shared" si="16"/>
        <v>110000</v>
      </c>
      <c r="I901" s="34" t="s">
        <v>154</v>
      </c>
      <c r="J901" s="35">
        <f>+J899-J897</f>
        <v>8669714.2857142836</v>
      </c>
      <c r="M901" s="9"/>
    </row>
    <row r="902" spans="1:13" x14ac:dyDescent="0.25">
      <c r="B902" t="s">
        <v>82</v>
      </c>
      <c r="C902">
        <v>97</v>
      </c>
      <c r="D902" t="s">
        <v>72</v>
      </c>
      <c r="E902" s="9">
        <v>20000</v>
      </c>
      <c r="F902" s="9">
        <f t="shared" si="16"/>
        <v>1940000</v>
      </c>
    </row>
    <row r="903" spans="1:13" x14ac:dyDescent="0.25">
      <c r="B903" t="s">
        <v>130</v>
      </c>
      <c r="C903">
        <v>10</v>
      </c>
      <c r="D903" t="s">
        <v>72</v>
      </c>
      <c r="E903" s="9">
        <v>20000</v>
      </c>
      <c r="F903" s="9">
        <f t="shared" si="16"/>
        <v>200000</v>
      </c>
    </row>
    <row r="904" spans="1:13" x14ac:dyDescent="0.25">
      <c r="A904" s="8">
        <v>45266</v>
      </c>
      <c r="B904" t="s">
        <v>98</v>
      </c>
      <c r="C904">
        <v>10</v>
      </c>
      <c r="D904" t="s">
        <v>71</v>
      </c>
      <c r="E904" s="9">
        <v>20000</v>
      </c>
      <c r="F904" s="9">
        <f t="shared" si="16"/>
        <v>200000</v>
      </c>
    </row>
    <row r="905" spans="1:13" x14ac:dyDescent="0.25">
      <c r="B905" t="s">
        <v>42</v>
      </c>
      <c r="C905">
        <v>10</v>
      </c>
      <c r="D905" t="s">
        <v>69</v>
      </c>
      <c r="E905" s="9">
        <v>21000</v>
      </c>
      <c r="F905" s="9">
        <f t="shared" si="16"/>
        <v>210000</v>
      </c>
    </row>
    <row r="906" spans="1:13" x14ac:dyDescent="0.25">
      <c r="B906" t="s">
        <v>52</v>
      </c>
      <c r="C906">
        <v>20</v>
      </c>
      <c r="D906" t="s">
        <v>72</v>
      </c>
      <c r="E906" s="9">
        <v>20000</v>
      </c>
      <c r="F906" s="9">
        <f t="shared" si="16"/>
        <v>400000</v>
      </c>
    </row>
    <row r="907" spans="1:13" x14ac:dyDescent="0.25">
      <c r="B907" t="s">
        <v>82</v>
      </c>
      <c r="C907">
        <v>37</v>
      </c>
      <c r="D907" t="s">
        <v>72</v>
      </c>
      <c r="E907" s="9">
        <v>20000</v>
      </c>
      <c r="F907" s="9">
        <f t="shared" si="16"/>
        <v>740000</v>
      </c>
    </row>
    <row r="908" spans="1:13" x14ac:dyDescent="0.25">
      <c r="B908" t="s">
        <v>101</v>
      </c>
      <c r="C908">
        <v>10</v>
      </c>
      <c r="D908" t="s">
        <v>69</v>
      </c>
      <c r="E908" s="9">
        <v>20000</v>
      </c>
      <c r="F908" s="9">
        <f t="shared" si="16"/>
        <v>200000</v>
      </c>
    </row>
    <row r="909" spans="1:13" x14ac:dyDescent="0.25">
      <c r="B909" t="s">
        <v>45</v>
      </c>
      <c r="C909">
        <v>2</v>
      </c>
      <c r="D909" t="s">
        <v>69</v>
      </c>
      <c r="E909" s="9">
        <v>22000</v>
      </c>
      <c r="F909" s="9">
        <f t="shared" si="16"/>
        <v>44000</v>
      </c>
    </row>
    <row r="910" spans="1:13" x14ac:dyDescent="0.25">
      <c r="A910" s="8">
        <v>45267</v>
      </c>
      <c r="B910" t="s">
        <v>82</v>
      </c>
      <c r="C910">
        <v>49</v>
      </c>
      <c r="D910" t="s">
        <v>72</v>
      </c>
      <c r="E910" s="9">
        <v>20000</v>
      </c>
      <c r="F910" s="9">
        <f t="shared" si="16"/>
        <v>980000</v>
      </c>
    </row>
    <row r="911" spans="1:13" x14ac:dyDescent="0.25">
      <c r="A911" s="8">
        <v>45268</v>
      </c>
      <c r="B911" t="s">
        <v>89</v>
      </c>
      <c r="C911">
        <v>10</v>
      </c>
      <c r="D911" t="s">
        <v>72</v>
      </c>
      <c r="E911" s="9">
        <v>22000</v>
      </c>
      <c r="F911" s="9">
        <f t="shared" si="16"/>
        <v>220000</v>
      </c>
    </row>
    <row r="912" spans="1:13" x14ac:dyDescent="0.25">
      <c r="B912" t="s">
        <v>85</v>
      </c>
      <c r="C912">
        <v>10</v>
      </c>
      <c r="D912" t="s">
        <v>69</v>
      </c>
      <c r="E912" s="9">
        <v>23000</v>
      </c>
      <c r="F912" s="9">
        <f t="shared" si="16"/>
        <v>230000</v>
      </c>
    </row>
    <row r="913" spans="1:6" x14ac:dyDescent="0.25">
      <c r="B913" t="s">
        <v>102</v>
      </c>
      <c r="C913">
        <v>7</v>
      </c>
      <c r="D913" t="s">
        <v>96</v>
      </c>
      <c r="E913" s="9">
        <v>23000</v>
      </c>
      <c r="F913" s="9">
        <f t="shared" si="16"/>
        <v>161000</v>
      </c>
    </row>
    <row r="914" spans="1:6" x14ac:dyDescent="0.25">
      <c r="B914" t="s">
        <v>64</v>
      </c>
      <c r="C914">
        <v>3</v>
      </c>
      <c r="D914" t="s">
        <v>69</v>
      </c>
      <c r="E914" s="9">
        <v>22000</v>
      </c>
      <c r="F914" s="9">
        <f t="shared" si="16"/>
        <v>66000</v>
      </c>
    </row>
    <row r="915" spans="1:6" x14ac:dyDescent="0.25">
      <c r="A915" s="8">
        <v>45269</v>
      </c>
      <c r="B915" t="s">
        <v>117</v>
      </c>
      <c r="C915">
        <v>4</v>
      </c>
      <c r="D915" t="s">
        <v>69</v>
      </c>
      <c r="E915" s="9">
        <v>22000</v>
      </c>
      <c r="F915" s="9">
        <f t="shared" si="16"/>
        <v>88000</v>
      </c>
    </row>
    <row r="916" spans="1:6" x14ac:dyDescent="0.25">
      <c r="B916" t="s">
        <v>88</v>
      </c>
      <c r="C916">
        <v>4</v>
      </c>
      <c r="D916" t="s">
        <v>69</v>
      </c>
      <c r="E916" s="9">
        <v>23000</v>
      </c>
      <c r="F916" s="9">
        <f t="shared" si="16"/>
        <v>92000</v>
      </c>
    </row>
    <row r="917" spans="1:6" x14ac:dyDescent="0.25">
      <c r="B917" t="s">
        <v>97</v>
      </c>
      <c r="C917">
        <v>5</v>
      </c>
      <c r="D917" t="s">
        <v>71</v>
      </c>
      <c r="E917" s="9">
        <v>20000</v>
      </c>
      <c r="F917" s="9">
        <f t="shared" si="16"/>
        <v>100000</v>
      </c>
    </row>
    <row r="918" spans="1:6" x14ac:dyDescent="0.25">
      <c r="B918" t="s">
        <v>52</v>
      </c>
      <c r="C918">
        <v>50</v>
      </c>
      <c r="D918" t="s">
        <v>72</v>
      </c>
      <c r="E918" s="9">
        <v>20000</v>
      </c>
      <c r="F918" s="9">
        <f t="shared" si="16"/>
        <v>1000000</v>
      </c>
    </row>
    <row r="919" spans="1:6" x14ac:dyDescent="0.25">
      <c r="A919" s="8">
        <v>45270</v>
      </c>
      <c r="B919" t="s">
        <v>39</v>
      </c>
      <c r="C919">
        <v>40</v>
      </c>
      <c r="D919" t="s">
        <v>72</v>
      </c>
      <c r="E919" s="9">
        <v>20000</v>
      </c>
      <c r="F919" s="9">
        <f t="shared" si="16"/>
        <v>800000</v>
      </c>
    </row>
    <row r="920" spans="1:6" x14ac:dyDescent="0.25">
      <c r="A920" s="8">
        <v>45271</v>
      </c>
      <c r="B920" t="s">
        <v>130</v>
      </c>
      <c r="C920">
        <v>10</v>
      </c>
      <c r="D920" t="s">
        <v>72</v>
      </c>
      <c r="E920" s="9">
        <v>20000</v>
      </c>
      <c r="F920" s="9">
        <f t="shared" si="16"/>
        <v>200000</v>
      </c>
    </row>
    <row r="921" spans="1:6" x14ac:dyDescent="0.25">
      <c r="B921" t="s">
        <v>42</v>
      </c>
      <c r="C921">
        <v>20</v>
      </c>
      <c r="D921" t="s">
        <v>69</v>
      </c>
      <c r="E921" s="9">
        <v>21000</v>
      </c>
      <c r="F921" s="9">
        <f t="shared" si="16"/>
        <v>420000</v>
      </c>
    </row>
    <row r="922" spans="1:6" x14ac:dyDescent="0.25">
      <c r="B922" t="s">
        <v>82</v>
      </c>
      <c r="C922">
        <v>55</v>
      </c>
      <c r="D922" t="s">
        <v>69</v>
      </c>
      <c r="E922" s="9">
        <v>20000</v>
      </c>
      <c r="F922" s="9">
        <f t="shared" si="16"/>
        <v>1100000</v>
      </c>
    </row>
    <row r="923" spans="1:6" x14ac:dyDescent="0.25">
      <c r="A923" s="8">
        <v>45272</v>
      </c>
      <c r="B923" t="s">
        <v>45</v>
      </c>
      <c r="C923">
        <v>4</v>
      </c>
      <c r="D923" t="s">
        <v>96</v>
      </c>
      <c r="E923" s="9">
        <v>23000</v>
      </c>
      <c r="F923" s="9">
        <f t="shared" si="16"/>
        <v>92000</v>
      </c>
    </row>
    <row r="924" spans="1:6" x14ac:dyDescent="0.25">
      <c r="B924" t="s">
        <v>80</v>
      </c>
      <c r="C924">
        <v>15</v>
      </c>
      <c r="D924" t="s">
        <v>69</v>
      </c>
      <c r="E924" s="9">
        <v>23000</v>
      </c>
      <c r="F924" s="9">
        <f t="shared" si="16"/>
        <v>345000</v>
      </c>
    </row>
    <row r="925" spans="1:6" x14ac:dyDescent="0.25">
      <c r="B925" t="s">
        <v>119</v>
      </c>
      <c r="C925">
        <v>4</v>
      </c>
      <c r="D925" t="s">
        <v>69</v>
      </c>
      <c r="E925" s="9">
        <v>23000</v>
      </c>
      <c r="F925" s="9">
        <f t="shared" si="16"/>
        <v>92000</v>
      </c>
    </row>
    <row r="926" spans="1:6" x14ac:dyDescent="0.25">
      <c r="A926" s="8">
        <v>45274</v>
      </c>
      <c r="B926" t="s">
        <v>82</v>
      </c>
      <c r="C926">
        <v>85</v>
      </c>
      <c r="D926" t="s">
        <v>72</v>
      </c>
      <c r="E926" s="9">
        <v>20000</v>
      </c>
      <c r="F926" s="9">
        <f t="shared" si="16"/>
        <v>1700000</v>
      </c>
    </row>
    <row r="927" spans="1:6" x14ac:dyDescent="0.25">
      <c r="B927" t="s">
        <v>42</v>
      </c>
      <c r="C927">
        <v>22</v>
      </c>
      <c r="D927" t="s">
        <v>69</v>
      </c>
      <c r="E927" s="9">
        <v>21000</v>
      </c>
      <c r="F927" s="9">
        <f t="shared" si="16"/>
        <v>462000</v>
      </c>
    </row>
    <row r="928" spans="1:6" x14ac:dyDescent="0.25">
      <c r="B928" t="s">
        <v>42</v>
      </c>
      <c r="C928">
        <v>10</v>
      </c>
      <c r="D928" t="s">
        <v>72</v>
      </c>
      <c r="E928" s="9">
        <v>20000</v>
      </c>
      <c r="F928" s="9">
        <f t="shared" si="16"/>
        <v>200000</v>
      </c>
    </row>
    <row r="929" spans="1:6" x14ac:dyDescent="0.25">
      <c r="A929" s="8">
        <v>45275</v>
      </c>
      <c r="B929" t="s">
        <v>101</v>
      </c>
      <c r="C929">
        <v>16</v>
      </c>
      <c r="D929" t="s">
        <v>69</v>
      </c>
      <c r="E929" s="9">
        <v>21000</v>
      </c>
      <c r="F929" s="9">
        <f t="shared" si="16"/>
        <v>336000</v>
      </c>
    </row>
    <row r="930" spans="1:6" x14ac:dyDescent="0.25">
      <c r="B930" t="s">
        <v>116</v>
      </c>
      <c r="C930">
        <v>5</v>
      </c>
      <c r="D930" t="s">
        <v>71</v>
      </c>
      <c r="E930" s="9">
        <v>21000</v>
      </c>
      <c r="F930" s="9">
        <f t="shared" ref="F930:F961" si="17">+E930*C930</f>
        <v>105000</v>
      </c>
    </row>
    <row r="931" spans="1:6" x14ac:dyDescent="0.25">
      <c r="A931" s="8">
        <v>45276</v>
      </c>
      <c r="B931" t="s">
        <v>117</v>
      </c>
      <c r="C931">
        <v>3</v>
      </c>
      <c r="D931" t="s">
        <v>69</v>
      </c>
      <c r="E931" s="9">
        <v>22000</v>
      </c>
      <c r="F931" s="9">
        <f t="shared" si="17"/>
        <v>66000</v>
      </c>
    </row>
    <row r="932" spans="1:6" x14ac:dyDescent="0.25">
      <c r="B932" t="s">
        <v>43</v>
      </c>
      <c r="C932">
        <v>5</v>
      </c>
      <c r="D932" t="s">
        <v>69</v>
      </c>
      <c r="E932" s="9">
        <v>22000</v>
      </c>
      <c r="F932" s="9">
        <f t="shared" si="17"/>
        <v>110000</v>
      </c>
    </row>
    <row r="933" spans="1:6" x14ac:dyDescent="0.25">
      <c r="B933" t="s">
        <v>43</v>
      </c>
      <c r="C933">
        <v>10</v>
      </c>
      <c r="D933" t="s">
        <v>71</v>
      </c>
      <c r="E933" s="9">
        <v>20000</v>
      </c>
      <c r="F933" s="9">
        <f t="shared" si="17"/>
        <v>200000</v>
      </c>
    </row>
    <row r="934" spans="1:6" x14ac:dyDescent="0.25">
      <c r="B934" t="s">
        <v>98</v>
      </c>
      <c r="C934">
        <v>12</v>
      </c>
      <c r="D934" t="s">
        <v>72</v>
      </c>
      <c r="E934" s="9">
        <v>20000</v>
      </c>
      <c r="F934" s="9">
        <f t="shared" si="17"/>
        <v>240000</v>
      </c>
    </row>
    <row r="935" spans="1:6" x14ac:dyDescent="0.25">
      <c r="B935" t="s">
        <v>82</v>
      </c>
      <c r="C935">
        <v>49</v>
      </c>
      <c r="D935" t="s">
        <v>72</v>
      </c>
      <c r="E935" s="9">
        <v>20000</v>
      </c>
      <c r="F935" s="9">
        <f t="shared" si="17"/>
        <v>980000</v>
      </c>
    </row>
    <row r="936" spans="1:6" x14ac:dyDescent="0.25">
      <c r="A936" s="8">
        <v>45278</v>
      </c>
      <c r="B936" t="s">
        <v>42</v>
      </c>
      <c r="C936">
        <v>20</v>
      </c>
      <c r="D936" t="s">
        <v>69</v>
      </c>
      <c r="E936" s="9">
        <v>21000</v>
      </c>
      <c r="F936" s="9">
        <f t="shared" si="17"/>
        <v>420000</v>
      </c>
    </row>
    <row r="937" spans="1:6" x14ac:dyDescent="0.25">
      <c r="B937" t="s">
        <v>119</v>
      </c>
      <c r="C937">
        <v>4</v>
      </c>
      <c r="D937" t="s">
        <v>72</v>
      </c>
      <c r="E937" s="9">
        <v>22000</v>
      </c>
      <c r="F937" s="9">
        <f t="shared" si="17"/>
        <v>88000</v>
      </c>
    </row>
    <row r="938" spans="1:6" x14ac:dyDescent="0.25">
      <c r="B938" t="s">
        <v>130</v>
      </c>
      <c r="C938">
        <v>15</v>
      </c>
      <c r="D938" t="s">
        <v>72</v>
      </c>
      <c r="E938" s="9">
        <v>20000</v>
      </c>
      <c r="F938" s="9">
        <f t="shared" si="17"/>
        <v>300000</v>
      </c>
    </row>
    <row r="939" spans="1:6" x14ac:dyDescent="0.25">
      <c r="B939" t="s">
        <v>82</v>
      </c>
      <c r="C939">
        <v>77</v>
      </c>
      <c r="D939" t="s">
        <v>72</v>
      </c>
      <c r="E939" s="9">
        <v>20000</v>
      </c>
      <c r="F939" s="9">
        <f t="shared" si="17"/>
        <v>1540000</v>
      </c>
    </row>
    <row r="940" spans="1:6" x14ac:dyDescent="0.25">
      <c r="A940" s="8">
        <v>45279</v>
      </c>
      <c r="B940" t="s">
        <v>89</v>
      </c>
      <c r="C940">
        <v>10</v>
      </c>
      <c r="D940" t="s">
        <v>72</v>
      </c>
      <c r="E940" s="9">
        <v>22000</v>
      </c>
      <c r="F940" s="9">
        <f t="shared" si="17"/>
        <v>220000</v>
      </c>
    </row>
    <row r="941" spans="1:6" x14ac:dyDescent="0.25">
      <c r="B941" t="s">
        <v>39</v>
      </c>
      <c r="C941">
        <v>30</v>
      </c>
      <c r="D941" t="s">
        <v>72</v>
      </c>
      <c r="E941" s="9">
        <v>20000</v>
      </c>
      <c r="F941" s="9">
        <f t="shared" si="17"/>
        <v>600000</v>
      </c>
    </row>
    <row r="942" spans="1:6" x14ac:dyDescent="0.25">
      <c r="B942" t="s">
        <v>85</v>
      </c>
      <c r="C942">
        <v>10</v>
      </c>
      <c r="D942" t="s">
        <v>69</v>
      </c>
      <c r="E942" s="9">
        <v>23000</v>
      </c>
      <c r="F942" s="9">
        <f t="shared" si="17"/>
        <v>230000</v>
      </c>
    </row>
    <row r="943" spans="1:6" x14ac:dyDescent="0.25">
      <c r="A943" s="8">
        <v>45280</v>
      </c>
      <c r="B943" t="s">
        <v>124</v>
      </c>
      <c r="C943">
        <v>15</v>
      </c>
      <c r="D943" t="s">
        <v>71</v>
      </c>
      <c r="E943" s="9">
        <v>20000</v>
      </c>
      <c r="F943" s="9">
        <f t="shared" si="17"/>
        <v>300000</v>
      </c>
    </row>
    <row r="944" spans="1:6" x14ac:dyDescent="0.25">
      <c r="A944" s="8">
        <v>45281</v>
      </c>
      <c r="B944" t="s">
        <v>82</v>
      </c>
      <c r="C944">
        <v>37</v>
      </c>
      <c r="D944" t="s">
        <v>72</v>
      </c>
      <c r="E944" s="9">
        <v>20000</v>
      </c>
      <c r="F944" s="9">
        <f t="shared" si="17"/>
        <v>740000</v>
      </c>
    </row>
    <row r="945" spans="1:6" x14ac:dyDescent="0.25">
      <c r="B945" t="s">
        <v>100</v>
      </c>
      <c r="C945">
        <v>6</v>
      </c>
      <c r="D945" t="s">
        <v>96</v>
      </c>
      <c r="E945" s="9">
        <v>24000</v>
      </c>
      <c r="F945" s="9">
        <f t="shared" si="17"/>
        <v>144000</v>
      </c>
    </row>
    <row r="946" spans="1:6" x14ac:dyDescent="0.25">
      <c r="B946" t="s">
        <v>105</v>
      </c>
      <c r="C946">
        <v>20</v>
      </c>
      <c r="D946" t="s">
        <v>72</v>
      </c>
      <c r="E946" s="9">
        <v>21000</v>
      </c>
      <c r="F946" s="9">
        <f t="shared" si="17"/>
        <v>420000</v>
      </c>
    </row>
    <row r="947" spans="1:6" x14ac:dyDescent="0.25">
      <c r="B947" t="s">
        <v>42</v>
      </c>
      <c r="C947">
        <v>14</v>
      </c>
      <c r="D947" t="s">
        <v>69</v>
      </c>
      <c r="E947" s="9">
        <v>21000</v>
      </c>
      <c r="F947" s="9">
        <f t="shared" si="17"/>
        <v>294000</v>
      </c>
    </row>
    <row r="948" spans="1:6" x14ac:dyDescent="0.25">
      <c r="B948" t="s">
        <v>42</v>
      </c>
      <c r="C948">
        <v>5</v>
      </c>
      <c r="D948" t="s">
        <v>72</v>
      </c>
      <c r="E948" s="9">
        <v>20000</v>
      </c>
      <c r="F948" s="9">
        <f t="shared" si="17"/>
        <v>100000</v>
      </c>
    </row>
    <row r="949" spans="1:6" x14ac:dyDescent="0.25">
      <c r="B949" t="s">
        <v>131</v>
      </c>
      <c r="C949">
        <v>2</v>
      </c>
      <c r="D949" t="s">
        <v>69</v>
      </c>
      <c r="E949" s="9">
        <v>23000</v>
      </c>
      <c r="F949" s="9">
        <f t="shared" si="17"/>
        <v>46000</v>
      </c>
    </row>
    <row r="950" spans="1:6" x14ac:dyDescent="0.25">
      <c r="A950" s="8">
        <v>45282</v>
      </c>
      <c r="B950" t="s">
        <v>39</v>
      </c>
      <c r="C950">
        <v>31</v>
      </c>
      <c r="D950" t="s">
        <v>72</v>
      </c>
      <c r="E950" s="9">
        <v>19000</v>
      </c>
      <c r="F950" s="9">
        <f t="shared" si="17"/>
        <v>589000</v>
      </c>
    </row>
    <row r="951" spans="1:6" x14ac:dyDescent="0.25">
      <c r="B951" t="s">
        <v>102</v>
      </c>
      <c r="C951">
        <v>8</v>
      </c>
      <c r="D951" t="s">
        <v>96</v>
      </c>
      <c r="E951" s="9">
        <v>23000</v>
      </c>
      <c r="F951" s="9">
        <f t="shared" si="17"/>
        <v>184000</v>
      </c>
    </row>
    <row r="952" spans="1:6" x14ac:dyDescent="0.25">
      <c r="A952" s="8">
        <v>45283</v>
      </c>
      <c r="B952" t="s">
        <v>101</v>
      </c>
      <c r="C952">
        <v>10</v>
      </c>
      <c r="D952" t="s">
        <v>69</v>
      </c>
      <c r="E952" s="9">
        <v>21000</v>
      </c>
      <c r="F952" s="9">
        <f t="shared" si="17"/>
        <v>210000</v>
      </c>
    </row>
    <row r="953" spans="1:6" x14ac:dyDescent="0.25">
      <c r="B953" t="s">
        <v>130</v>
      </c>
      <c r="C953">
        <v>10</v>
      </c>
      <c r="D953" t="s">
        <v>72</v>
      </c>
      <c r="E953" s="9">
        <v>20000</v>
      </c>
      <c r="F953" s="9">
        <f t="shared" si="17"/>
        <v>200000</v>
      </c>
    </row>
    <row r="954" spans="1:6" x14ac:dyDescent="0.25">
      <c r="B954" t="s">
        <v>119</v>
      </c>
      <c r="C954">
        <v>4</v>
      </c>
      <c r="D954" t="s">
        <v>69</v>
      </c>
      <c r="E954" s="9">
        <v>23000</v>
      </c>
      <c r="F954" s="9">
        <f t="shared" si="17"/>
        <v>92000</v>
      </c>
    </row>
    <row r="955" spans="1:6" x14ac:dyDescent="0.25">
      <c r="B955" t="s">
        <v>42</v>
      </c>
      <c r="C955">
        <v>5</v>
      </c>
      <c r="D955" t="s">
        <v>69</v>
      </c>
      <c r="E955" s="9">
        <v>21000</v>
      </c>
      <c r="F955" s="9">
        <f t="shared" si="17"/>
        <v>105000</v>
      </c>
    </row>
    <row r="956" spans="1:6" x14ac:dyDescent="0.25">
      <c r="B956" t="s">
        <v>42</v>
      </c>
      <c r="C956">
        <v>20</v>
      </c>
      <c r="D956" t="s">
        <v>72</v>
      </c>
      <c r="E956" s="9">
        <v>20000</v>
      </c>
      <c r="F956" s="9">
        <f t="shared" si="17"/>
        <v>400000</v>
      </c>
    </row>
    <row r="957" spans="1:6" x14ac:dyDescent="0.25">
      <c r="B957" t="s">
        <v>107</v>
      </c>
      <c r="C957">
        <v>3</v>
      </c>
      <c r="D957" t="s">
        <v>69</v>
      </c>
      <c r="E957" s="9">
        <v>23000</v>
      </c>
      <c r="F957" s="9">
        <f t="shared" si="17"/>
        <v>69000</v>
      </c>
    </row>
    <row r="958" spans="1:6" x14ac:dyDescent="0.25">
      <c r="B958" t="s">
        <v>87</v>
      </c>
      <c r="C958">
        <v>6</v>
      </c>
      <c r="D958" t="s">
        <v>72</v>
      </c>
      <c r="E958" s="9">
        <v>22000</v>
      </c>
      <c r="F958" s="9">
        <f t="shared" si="17"/>
        <v>132000</v>
      </c>
    </row>
    <row r="959" spans="1:6" x14ac:dyDescent="0.25">
      <c r="B959" t="s">
        <v>43</v>
      </c>
      <c r="C959">
        <v>5</v>
      </c>
      <c r="D959" t="s">
        <v>71</v>
      </c>
      <c r="E959" s="9">
        <v>20000</v>
      </c>
      <c r="F959" s="9">
        <f t="shared" si="17"/>
        <v>100000</v>
      </c>
    </row>
    <row r="960" spans="1:6" x14ac:dyDescent="0.25">
      <c r="B960" t="s">
        <v>43</v>
      </c>
      <c r="C960">
        <v>5</v>
      </c>
      <c r="D960" t="s">
        <v>72</v>
      </c>
      <c r="E960" s="9">
        <v>21000</v>
      </c>
      <c r="F960" s="9">
        <f t="shared" si="17"/>
        <v>105000</v>
      </c>
    </row>
    <row r="961" spans="1:6" x14ac:dyDescent="0.25">
      <c r="B961" t="s">
        <v>88</v>
      </c>
      <c r="C961">
        <v>4</v>
      </c>
      <c r="D961" t="s">
        <v>69</v>
      </c>
      <c r="E961" s="9">
        <v>22000</v>
      </c>
      <c r="F961" s="9">
        <f t="shared" si="17"/>
        <v>88000</v>
      </c>
    </row>
    <row r="962" spans="1:6" x14ac:dyDescent="0.25">
      <c r="A962" s="8">
        <v>45284</v>
      </c>
      <c r="B962" t="s">
        <v>118</v>
      </c>
      <c r="C962">
        <v>2</v>
      </c>
      <c r="D962" t="s">
        <v>72</v>
      </c>
      <c r="E962" s="9">
        <v>20000</v>
      </c>
      <c r="F962" s="9">
        <f t="shared" ref="F962:F986" si="18">+E962*C962</f>
        <v>40000</v>
      </c>
    </row>
    <row r="963" spans="1:6" x14ac:dyDescent="0.25">
      <c r="B963" t="s">
        <v>97</v>
      </c>
      <c r="C963">
        <v>5</v>
      </c>
      <c r="D963" t="s">
        <v>69</v>
      </c>
      <c r="E963" s="9">
        <v>22000</v>
      </c>
      <c r="F963" s="9">
        <f t="shared" si="18"/>
        <v>110000</v>
      </c>
    </row>
    <row r="964" spans="1:6" x14ac:dyDescent="0.25">
      <c r="A964" s="8">
        <v>45286</v>
      </c>
      <c r="B964" t="s">
        <v>52</v>
      </c>
      <c r="C964">
        <v>30</v>
      </c>
      <c r="D964" t="s">
        <v>72</v>
      </c>
      <c r="E964" s="9">
        <v>20000</v>
      </c>
      <c r="F964" s="9">
        <f t="shared" si="18"/>
        <v>600000</v>
      </c>
    </row>
    <row r="965" spans="1:6" x14ac:dyDescent="0.25">
      <c r="B965" t="s">
        <v>116</v>
      </c>
      <c r="C965">
        <v>5</v>
      </c>
      <c r="D965" t="s">
        <v>69</v>
      </c>
      <c r="E965" s="9">
        <v>22000</v>
      </c>
      <c r="F965" s="9">
        <f t="shared" si="18"/>
        <v>110000</v>
      </c>
    </row>
    <row r="966" spans="1:6" x14ac:dyDescent="0.25">
      <c r="B966" t="s">
        <v>42</v>
      </c>
      <c r="C966">
        <v>20</v>
      </c>
      <c r="D966" t="s">
        <v>69</v>
      </c>
      <c r="E966" s="9">
        <v>21000</v>
      </c>
      <c r="F966" s="9">
        <f t="shared" si="18"/>
        <v>420000</v>
      </c>
    </row>
    <row r="967" spans="1:6" x14ac:dyDescent="0.25">
      <c r="B967" t="s">
        <v>105</v>
      </c>
      <c r="C967">
        <v>20</v>
      </c>
      <c r="D967" t="s">
        <v>72</v>
      </c>
      <c r="E967" s="9">
        <v>21000</v>
      </c>
      <c r="F967" s="9">
        <f t="shared" si="18"/>
        <v>420000</v>
      </c>
    </row>
    <row r="968" spans="1:6" x14ac:dyDescent="0.25">
      <c r="B968" t="s">
        <v>132</v>
      </c>
      <c r="C968">
        <v>20</v>
      </c>
      <c r="D968" t="s">
        <v>72</v>
      </c>
      <c r="E968" s="9">
        <v>20000</v>
      </c>
      <c r="F968" s="9">
        <f t="shared" si="18"/>
        <v>400000</v>
      </c>
    </row>
    <row r="969" spans="1:6" x14ac:dyDescent="0.25">
      <c r="A969" s="8">
        <v>45286</v>
      </c>
      <c r="B969" t="s">
        <v>39</v>
      </c>
      <c r="C969">
        <v>36</v>
      </c>
      <c r="D969" t="s">
        <v>72</v>
      </c>
      <c r="E969" s="9">
        <v>19500</v>
      </c>
      <c r="F969" s="9">
        <f t="shared" si="18"/>
        <v>702000</v>
      </c>
    </row>
    <row r="970" spans="1:6" x14ac:dyDescent="0.25">
      <c r="B970" t="s">
        <v>117</v>
      </c>
      <c r="C970">
        <v>4</v>
      </c>
      <c r="D970" t="s">
        <v>69</v>
      </c>
      <c r="E970" s="9">
        <v>22000</v>
      </c>
      <c r="F970" s="9">
        <f t="shared" si="18"/>
        <v>88000</v>
      </c>
    </row>
    <row r="971" spans="1:6" x14ac:dyDescent="0.25">
      <c r="A971" s="8">
        <v>45287</v>
      </c>
      <c r="B971" t="s">
        <v>89</v>
      </c>
      <c r="C971">
        <v>10</v>
      </c>
      <c r="D971" t="s">
        <v>72</v>
      </c>
      <c r="E971" s="9">
        <v>22000</v>
      </c>
      <c r="F971" s="9">
        <f t="shared" si="18"/>
        <v>220000</v>
      </c>
    </row>
    <row r="972" spans="1:6" x14ac:dyDescent="0.25">
      <c r="B972" t="s">
        <v>52</v>
      </c>
      <c r="C972">
        <v>51</v>
      </c>
      <c r="D972" t="s">
        <v>72</v>
      </c>
      <c r="E972" s="9">
        <v>20000</v>
      </c>
      <c r="F972" s="9">
        <f t="shared" si="18"/>
        <v>1020000</v>
      </c>
    </row>
    <row r="973" spans="1:6" x14ac:dyDescent="0.25">
      <c r="B973" t="s">
        <v>80</v>
      </c>
      <c r="C973">
        <v>15</v>
      </c>
      <c r="D973" t="s">
        <v>69</v>
      </c>
      <c r="E973" s="9">
        <v>23000</v>
      </c>
      <c r="F973" s="9">
        <f t="shared" si="18"/>
        <v>345000</v>
      </c>
    </row>
    <row r="974" spans="1:6" x14ac:dyDescent="0.25">
      <c r="B974" t="s">
        <v>119</v>
      </c>
      <c r="C974">
        <v>3</v>
      </c>
      <c r="D974" t="s">
        <v>69</v>
      </c>
      <c r="E974" s="9">
        <v>23000</v>
      </c>
      <c r="F974" s="9">
        <f t="shared" si="18"/>
        <v>69000</v>
      </c>
    </row>
    <row r="975" spans="1:6" x14ac:dyDescent="0.25">
      <c r="A975" s="8">
        <v>45288</v>
      </c>
      <c r="B975" t="s">
        <v>82</v>
      </c>
      <c r="C975">
        <v>50</v>
      </c>
      <c r="D975" t="s">
        <v>72</v>
      </c>
      <c r="E975" s="9">
        <v>20000</v>
      </c>
      <c r="F975" s="9">
        <f t="shared" si="18"/>
        <v>1000000</v>
      </c>
    </row>
    <row r="976" spans="1:6" x14ac:dyDescent="0.25">
      <c r="A976" s="8">
        <v>45289</v>
      </c>
      <c r="B976" t="s">
        <v>87</v>
      </c>
      <c r="C976">
        <v>6</v>
      </c>
      <c r="D976" t="s">
        <v>72</v>
      </c>
      <c r="E976" s="9">
        <v>22000</v>
      </c>
      <c r="F976" s="9">
        <f t="shared" si="18"/>
        <v>132000</v>
      </c>
    </row>
    <row r="977" spans="1:10" x14ac:dyDescent="0.25">
      <c r="B977" t="s">
        <v>85</v>
      </c>
      <c r="C977">
        <v>6</v>
      </c>
      <c r="D977" t="s">
        <v>69</v>
      </c>
      <c r="E977" s="9">
        <v>23000</v>
      </c>
      <c r="F977" s="9">
        <f t="shared" si="18"/>
        <v>138000</v>
      </c>
    </row>
    <row r="978" spans="1:10" x14ac:dyDescent="0.25">
      <c r="B978" t="s">
        <v>101</v>
      </c>
      <c r="C978">
        <v>12</v>
      </c>
      <c r="D978" t="s">
        <v>69</v>
      </c>
      <c r="E978" s="9">
        <v>21000</v>
      </c>
      <c r="F978" s="9">
        <f t="shared" si="18"/>
        <v>252000</v>
      </c>
    </row>
    <row r="979" spans="1:10" x14ac:dyDescent="0.25">
      <c r="B979" t="s">
        <v>130</v>
      </c>
      <c r="C979">
        <v>15</v>
      </c>
      <c r="D979" t="s">
        <v>72</v>
      </c>
      <c r="E979" s="9">
        <v>20000</v>
      </c>
      <c r="F979" s="9">
        <f t="shared" si="18"/>
        <v>300000</v>
      </c>
    </row>
    <row r="980" spans="1:10" x14ac:dyDescent="0.25">
      <c r="B980" t="s">
        <v>42</v>
      </c>
      <c r="C980">
        <v>15</v>
      </c>
      <c r="D980" t="s">
        <v>72</v>
      </c>
      <c r="E980" s="9">
        <v>20000</v>
      </c>
      <c r="F980" s="9">
        <f t="shared" si="18"/>
        <v>300000</v>
      </c>
    </row>
    <row r="981" spans="1:10" x14ac:dyDescent="0.25">
      <c r="A981" s="8">
        <v>45291</v>
      </c>
      <c r="B981" t="s">
        <v>113</v>
      </c>
      <c r="C981">
        <v>5</v>
      </c>
      <c r="D981" t="s">
        <v>72</v>
      </c>
      <c r="E981" s="9">
        <v>22000</v>
      </c>
      <c r="F981" s="9">
        <f t="shared" si="18"/>
        <v>110000</v>
      </c>
    </row>
    <row r="982" spans="1:10" x14ac:dyDescent="0.25">
      <c r="B982" t="s">
        <v>133</v>
      </c>
      <c r="C982">
        <v>3</v>
      </c>
      <c r="D982" t="s">
        <v>71</v>
      </c>
      <c r="E982" s="9">
        <v>20000</v>
      </c>
      <c r="F982" s="9">
        <f t="shared" si="18"/>
        <v>60000</v>
      </c>
    </row>
    <row r="983" spans="1:10" x14ac:dyDescent="0.25">
      <c r="B983" t="s">
        <v>43</v>
      </c>
      <c r="C983">
        <v>10</v>
      </c>
      <c r="D983" t="s">
        <v>69</v>
      </c>
      <c r="E983" s="9">
        <v>22000</v>
      </c>
      <c r="F983" s="9">
        <f t="shared" si="18"/>
        <v>220000</v>
      </c>
    </row>
    <row r="984" spans="1:10" x14ac:dyDescent="0.25">
      <c r="B984" t="s">
        <v>43</v>
      </c>
      <c r="C984">
        <v>10</v>
      </c>
      <c r="D984" t="s">
        <v>72</v>
      </c>
      <c r="E984" s="9">
        <v>21000</v>
      </c>
      <c r="F984" s="9">
        <f t="shared" si="18"/>
        <v>210000</v>
      </c>
    </row>
    <row r="985" spans="1:10" x14ac:dyDescent="0.25">
      <c r="B985" t="s">
        <v>43</v>
      </c>
      <c r="C985">
        <v>4</v>
      </c>
      <c r="D985" t="s">
        <v>71</v>
      </c>
      <c r="E985" s="9">
        <v>20000</v>
      </c>
      <c r="F985" s="9">
        <f t="shared" si="18"/>
        <v>80000</v>
      </c>
    </row>
    <row r="986" spans="1:10" x14ac:dyDescent="0.25">
      <c r="C986">
        <v>4</v>
      </c>
      <c r="D986" t="s">
        <v>72</v>
      </c>
      <c r="E986" s="9">
        <v>20000</v>
      </c>
      <c r="F986" s="9">
        <f t="shared" si="18"/>
        <v>80000</v>
      </c>
    </row>
    <row r="987" spans="1:10" s="30" customFormat="1" x14ac:dyDescent="0.25">
      <c r="G987" s="31"/>
      <c r="J987" s="31"/>
    </row>
    <row r="1094" spans="7:10" s="30" customFormat="1" x14ac:dyDescent="0.25">
      <c r="G1094" s="31"/>
      <c r="J1094" s="31"/>
    </row>
    <row r="1107" spans="6:6" x14ac:dyDescent="0.25">
      <c r="F1107" s="9">
        <f t="shared" ref="F1107:F1121" si="19">+E1107*C1107</f>
        <v>0</v>
      </c>
    </row>
    <row r="1108" spans="6:6" x14ac:dyDescent="0.25">
      <c r="F1108" s="9">
        <f t="shared" si="19"/>
        <v>0</v>
      </c>
    </row>
    <row r="1109" spans="6:6" x14ac:dyDescent="0.25">
      <c r="F1109" s="9">
        <f t="shared" si="19"/>
        <v>0</v>
      </c>
    </row>
    <row r="1110" spans="6:6" x14ac:dyDescent="0.25">
      <c r="F1110" s="9">
        <f t="shared" si="19"/>
        <v>0</v>
      </c>
    </row>
    <row r="1111" spans="6:6" x14ac:dyDescent="0.25">
      <c r="F1111" s="9">
        <f t="shared" si="19"/>
        <v>0</v>
      </c>
    </row>
    <row r="1112" spans="6:6" x14ac:dyDescent="0.25">
      <c r="F1112" s="9">
        <f t="shared" si="19"/>
        <v>0</v>
      </c>
    </row>
    <row r="1113" spans="6:6" x14ac:dyDescent="0.25">
      <c r="F1113" s="9">
        <f t="shared" si="19"/>
        <v>0</v>
      </c>
    </row>
    <row r="1114" spans="6:6" x14ac:dyDescent="0.25">
      <c r="F1114" s="9">
        <f t="shared" si="19"/>
        <v>0</v>
      </c>
    </row>
    <row r="1115" spans="6:6" x14ac:dyDescent="0.25">
      <c r="F1115" s="9">
        <f t="shared" si="19"/>
        <v>0</v>
      </c>
    </row>
    <row r="1116" spans="6:6" x14ac:dyDescent="0.25">
      <c r="F1116" s="9">
        <f t="shared" si="19"/>
        <v>0</v>
      </c>
    </row>
    <row r="1117" spans="6:6" x14ac:dyDescent="0.25">
      <c r="F1117" s="9">
        <f t="shared" si="19"/>
        <v>0</v>
      </c>
    </row>
    <row r="1118" spans="6:6" x14ac:dyDescent="0.25">
      <c r="F1118" s="9">
        <f t="shared" si="19"/>
        <v>0</v>
      </c>
    </row>
    <row r="1119" spans="6:6" x14ac:dyDescent="0.25">
      <c r="F1119" s="9">
        <f t="shared" si="19"/>
        <v>0</v>
      </c>
    </row>
    <row r="1120" spans="6:6" x14ac:dyDescent="0.25">
      <c r="F1120" s="9">
        <f t="shared" si="19"/>
        <v>0</v>
      </c>
    </row>
    <row r="1121" spans="6:6" x14ac:dyDescent="0.25">
      <c r="F1121" s="9">
        <f t="shared" si="19"/>
        <v>0</v>
      </c>
    </row>
    <row r="1122" spans="6:6" x14ac:dyDescent="0.25">
      <c r="F1122" s="9">
        <f t="shared" ref="F1122:F1134" si="20">+E1122*C1122</f>
        <v>0</v>
      </c>
    </row>
    <row r="1123" spans="6:6" x14ac:dyDescent="0.25">
      <c r="F1123" s="9">
        <f t="shared" si="20"/>
        <v>0</v>
      </c>
    </row>
    <row r="1124" spans="6:6" x14ac:dyDescent="0.25">
      <c r="F1124" s="9">
        <f t="shared" si="20"/>
        <v>0</v>
      </c>
    </row>
    <row r="1125" spans="6:6" x14ac:dyDescent="0.25">
      <c r="F1125" s="9">
        <f t="shared" si="20"/>
        <v>0</v>
      </c>
    </row>
    <row r="1126" spans="6:6" x14ac:dyDescent="0.25">
      <c r="F1126" s="9">
        <f t="shared" si="20"/>
        <v>0</v>
      </c>
    </row>
    <row r="1127" spans="6:6" x14ac:dyDescent="0.25">
      <c r="F1127" s="9">
        <f t="shared" si="20"/>
        <v>0</v>
      </c>
    </row>
    <row r="1128" spans="6:6" x14ac:dyDescent="0.25">
      <c r="F1128" s="9">
        <f t="shared" si="20"/>
        <v>0</v>
      </c>
    </row>
    <row r="1129" spans="6:6" x14ac:dyDescent="0.25">
      <c r="F1129" s="9">
        <f t="shared" si="20"/>
        <v>0</v>
      </c>
    </row>
    <row r="1130" spans="6:6" x14ac:dyDescent="0.25">
      <c r="F1130" s="9">
        <f t="shared" si="20"/>
        <v>0</v>
      </c>
    </row>
    <row r="1131" spans="6:6" x14ac:dyDescent="0.25">
      <c r="F1131" s="9">
        <f t="shared" si="20"/>
        <v>0</v>
      </c>
    </row>
    <row r="1132" spans="6:6" x14ac:dyDescent="0.25">
      <c r="F1132" s="9">
        <f t="shared" si="20"/>
        <v>0</v>
      </c>
    </row>
    <row r="1133" spans="6:6" x14ac:dyDescent="0.25">
      <c r="F1133" s="9">
        <f t="shared" si="20"/>
        <v>0</v>
      </c>
    </row>
    <row r="1134" spans="6:6" x14ac:dyDescent="0.25">
      <c r="F1134" s="9">
        <f t="shared" si="20"/>
        <v>0</v>
      </c>
    </row>
  </sheetData>
  <mergeCells count="20">
    <mergeCell ref="I75:J75"/>
    <mergeCell ref="L75:M75"/>
    <mergeCell ref="I314:J314"/>
    <mergeCell ref="L314:M314"/>
    <mergeCell ref="I225:J225"/>
    <mergeCell ref="L225:M225"/>
    <mergeCell ref="I147:J147"/>
    <mergeCell ref="L147:M147"/>
    <mergeCell ref="I582:J582"/>
    <mergeCell ref="L582:M582"/>
    <mergeCell ref="I478:J478"/>
    <mergeCell ref="L478:M478"/>
    <mergeCell ref="I396:J396"/>
    <mergeCell ref="L396:M396"/>
    <mergeCell ref="I890:J890"/>
    <mergeCell ref="L890:M890"/>
    <mergeCell ref="I788:J788"/>
    <mergeCell ref="L788:M788"/>
    <mergeCell ref="I670:J670"/>
    <mergeCell ref="L670:M670"/>
  </mergeCells>
  <conditionalFormatting sqref="D2:D120">
    <cfRule type="containsText" dxfId="41" priority="40" operator="containsText" text="Huevo J">
      <formula>NOT(ISERROR(SEARCH("Huevo J",D2)))</formula>
    </cfRule>
    <cfRule type="containsText" dxfId="40" priority="41" operator="containsText" text="Huevo C">
      <formula>NOT(ISERROR(SEARCH("Huevo C",D2)))</formula>
    </cfRule>
    <cfRule type="containsText" dxfId="39" priority="42" operator="containsText" text="Huevo S">
      <formula>NOT(ISERROR(SEARCH("Huevo S",D2)))</formula>
    </cfRule>
    <cfRule type="containsText" dxfId="38" priority="43" operator="containsText" text="Huevo B">
      <formula>NOT(ISERROR(SEARCH("Huevo B",D2)))</formula>
    </cfRule>
    <cfRule type="containsText" dxfId="37" priority="44" operator="containsText" text="Huevo A">
      <formula>NOT(ISERROR(SEARCH("Huevo A",D2)))</formula>
    </cfRule>
  </conditionalFormatting>
  <conditionalFormatting sqref="D2:D986 D1107:D1048576">
    <cfRule type="containsText" dxfId="36" priority="34" operator="containsText" text="C">
      <formula>NOT(ISERROR(SEARCH("C",D2)))</formula>
    </cfRule>
    <cfRule type="containsText" dxfId="35" priority="35" operator="containsText" text="C">
      <formula>NOT(ISERROR(SEARCH("C",D2)))</formula>
    </cfRule>
    <cfRule type="containsText" dxfId="34" priority="36" operator="containsText" text="S">
      <formula>NOT(ISERROR(SEARCH("S",D2)))</formula>
    </cfRule>
    <cfRule type="containsText" dxfId="33" priority="37" operator="containsText" text="C">
      <formula>NOT(ISERROR(SEARCH("C",D2)))</formula>
    </cfRule>
    <cfRule type="containsText" dxfId="32" priority="38" operator="containsText" text="B">
      <formula>NOT(ISERROR(SEARCH("B",D2)))</formula>
    </cfRule>
    <cfRule type="containsText" dxfId="31" priority="39" operator="containsText" text="A">
      <formula>NOT(ISERROR(SEARCH("A",D2)))</formula>
    </cfRule>
  </conditionalFormatting>
  <conditionalFormatting sqref="J6">
    <cfRule type="containsText" dxfId="30" priority="1" operator="containsText" text="24">
      <formula>NOT(ISERROR(SEARCH("24",J6)))</formula>
    </cfRule>
  </conditionalFormatting>
  <conditionalFormatting sqref="J9:J14 N15 J16:J18">
    <cfRule type="containsText" dxfId="29" priority="2" operator="containsText" text="24">
      <formula>NOT(ISERROR(SEARCH("24",J9)))</formula>
    </cfRule>
  </conditionalFormatting>
  <conditionalFormatting sqref="J73">
    <cfRule type="containsText" dxfId="28" priority="3" operator="containsText" text="24">
      <formula>NOT(ISERROR(SEARCH("24",J73)))</formula>
    </cfRule>
  </conditionalFormatting>
  <conditionalFormatting sqref="J76:J81 N82 J83:J85">
    <cfRule type="containsText" dxfId="27" priority="4" operator="containsText" text="24">
      <formula>NOT(ISERROR(SEARCH("24",J76)))</formula>
    </cfRule>
  </conditionalFormatting>
  <conditionalFormatting sqref="J145">
    <cfRule type="containsText" dxfId="26" priority="5" operator="containsText" text="24">
      <formula>NOT(ISERROR(SEARCH("24",J145)))</formula>
    </cfRule>
  </conditionalFormatting>
  <conditionalFormatting sqref="J148:J153 N154 J155:J157">
    <cfRule type="containsText" dxfId="25" priority="6" operator="containsText" text="24">
      <formula>NOT(ISERROR(SEARCH("24",J148)))</formula>
    </cfRule>
  </conditionalFormatting>
  <conditionalFormatting sqref="J223">
    <cfRule type="containsText" dxfId="24" priority="7" operator="containsText" text="24">
      <formula>NOT(ISERROR(SEARCH("24",J223)))</formula>
    </cfRule>
  </conditionalFormatting>
  <conditionalFormatting sqref="J226:J231 N232 J233:J235">
    <cfRule type="containsText" dxfId="23" priority="8" operator="containsText" text="24">
      <formula>NOT(ISERROR(SEARCH("24",J226)))</formula>
    </cfRule>
  </conditionalFormatting>
  <conditionalFormatting sqref="J312">
    <cfRule type="containsText" dxfId="22" priority="9" operator="containsText" text="24">
      <formula>NOT(ISERROR(SEARCH("24",J312)))</formula>
    </cfRule>
  </conditionalFormatting>
  <conditionalFormatting sqref="J315:J320 N321 J322:J324">
    <cfRule type="containsText" dxfId="21" priority="10" operator="containsText" text="24">
      <formula>NOT(ISERROR(SEARCH("24",J315)))</formula>
    </cfRule>
  </conditionalFormatting>
  <conditionalFormatting sqref="J394">
    <cfRule type="containsText" dxfId="20" priority="13" operator="containsText" text="24">
      <formula>NOT(ISERROR(SEARCH("24",J394)))</formula>
    </cfRule>
  </conditionalFormatting>
  <conditionalFormatting sqref="J397:J402 N403 J404:J406">
    <cfRule type="containsText" dxfId="19" priority="14" operator="containsText" text="24">
      <formula>NOT(ISERROR(SEARCH("24",J397)))</formula>
    </cfRule>
  </conditionalFormatting>
  <conditionalFormatting sqref="J476">
    <cfRule type="containsText" dxfId="18" priority="15" operator="containsText" text="24">
      <formula>NOT(ISERROR(SEARCH("24",J476)))</formula>
    </cfRule>
  </conditionalFormatting>
  <conditionalFormatting sqref="J479:J484 N485 J486:J488">
    <cfRule type="containsText" dxfId="17" priority="16" operator="containsText" text="24">
      <formula>NOT(ISERROR(SEARCH("24",J479)))</formula>
    </cfRule>
  </conditionalFormatting>
  <conditionalFormatting sqref="J580">
    <cfRule type="containsText" dxfId="16" priority="17" operator="containsText" text="24">
      <formula>NOT(ISERROR(SEARCH("24",J580)))</formula>
    </cfRule>
  </conditionalFormatting>
  <conditionalFormatting sqref="J583:J588 N589 J590:J592">
    <cfRule type="containsText" dxfId="15" priority="18" operator="containsText" text="24">
      <formula>NOT(ISERROR(SEARCH("24",J583)))</formula>
    </cfRule>
  </conditionalFormatting>
  <conditionalFormatting sqref="J668">
    <cfRule type="containsText" dxfId="14" priority="19" operator="containsText" text="24">
      <formula>NOT(ISERROR(SEARCH("24",J668)))</formula>
    </cfRule>
  </conditionalFormatting>
  <conditionalFormatting sqref="J671:J676 N677 J678:J680 J789:J798 J888 J891:J901">
    <cfRule type="containsText" dxfId="13" priority="22" operator="containsText" text="24">
      <formula>NOT(ISERROR(SEARCH("24",J671)))</formula>
    </cfRule>
  </conditionalFormatting>
  <conditionalFormatting sqref="J786">
    <cfRule type="containsText" dxfId="12" priority="21" operator="containsText" text="24">
      <formula>NOT(ISERROR(SEARCH("24",J786)))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252C-53E3-4869-A7E2-39B20C08801C}">
  <dimension ref="A1:M1090"/>
  <sheetViews>
    <sheetView zoomScale="80" zoomScaleNormal="80" workbookViewId="0">
      <pane ySplit="1" topLeftCell="A870" activePane="bottomLeft" state="frozen"/>
      <selection pane="bottomLeft" activeCell="J1050" sqref="J1050"/>
    </sheetView>
  </sheetViews>
  <sheetFormatPr baseColWidth="10" defaultRowHeight="15" x14ac:dyDescent="0.25"/>
  <cols>
    <col min="2" max="2" width="18" bestFit="1" customWidth="1"/>
    <col min="5" max="5" width="15.140625" bestFit="1" customWidth="1"/>
    <col min="6" max="6" width="10.85546875" bestFit="1" customWidth="1"/>
    <col min="7" max="7" width="16.7109375" bestFit="1" customWidth="1"/>
    <col min="8" max="8" width="18.85546875" bestFit="1" customWidth="1"/>
    <col min="9" max="9" width="12.7109375" style="9" bestFit="1" customWidth="1"/>
    <col min="11" max="11" width="13.5703125" bestFit="1" customWidth="1"/>
    <col min="12" max="12" width="11.42578125" style="9"/>
  </cols>
  <sheetData>
    <row r="1" spans="1:13" x14ac:dyDescent="0.25">
      <c r="A1" s="1" t="s">
        <v>0</v>
      </c>
      <c r="B1" s="3" t="s">
        <v>6</v>
      </c>
      <c r="C1" s="3" t="s">
        <v>4</v>
      </c>
      <c r="D1" s="2" t="s">
        <v>3</v>
      </c>
      <c r="E1" s="2" t="s">
        <v>5</v>
      </c>
      <c r="F1" s="2" t="s">
        <v>1</v>
      </c>
      <c r="G1" s="2" t="s">
        <v>138</v>
      </c>
    </row>
    <row r="2" spans="1:13" x14ac:dyDescent="0.25">
      <c r="A2" s="29">
        <v>45293</v>
      </c>
      <c r="B2" s="30" t="s">
        <v>105</v>
      </c>
      <c r="C2" s="30">
        <v>20</v>
      </c>
      <c r="D2" s="30" t="s">
        <v>72</v>
      </c>
      <c r="E2" s="31">
        <v>21000</v>
      </c>
      <c r="F2" s="31">
        <f t="shared" ref="F2:F33" si="0">+E2*C2</f>
        <v>420000</v>
      </c>
      <c r="G2" s="9">
        <f>+SUM(F2:F108)/SUM(C2:C108)</f>
        <v>19249.708963911526</v>
      </c>
      <c r="H2" s="32" t="s">
        <v>139</v>
      </c>
      <c r="I2" s="17">
        <v>30</v>
      </c>
      <c r="J2" s="30"/>
    </row>
    <row r="3" spans="1:13" x14ac:dyDescent="0.25">
      <c r="A3" s="8"/>
      <c r="B3" t="s">
        <v>119</v>
      </c>
      <c r="C3">
        <v>5</v>
      </c>
      <c r="D3" t="s">
        <v>69</v>
      </c>
      <c r="E3" s="9">
        <v>23000</v>
      </c>
      <c r="F3" s="9">
        <f t="shared" si="0"/>
        <v>115000</v>
      </c>
    </row>
    <row r="4" spans="1:13" x14ac:dyDescent="0.25">
      <c r="A4" s="8"/>
      <c r="B4" t="s">
        <v>117</v>
      </c>
      <c r="C4">
        <v>3</v>
      </c>
      <c r="D4" t="s">
        <v>69</v>
      </c>
      <c r="E4" s="9">
        <v>22000</v>
      </c>
      <c r="F4" s="9">
        <f t="shared" si="0"/>
        <v>66000</v>
      </c>
      <c r="H4" s="40" t="s">
        <v>144</v>
      </c>
      <c r="I4" s="40"/>
      <c r="K4" s="40" t="s">
        <v>141</v>
      </c>
      <c r="L4" s="40"/>
    </row>
    <row r="5" spans="1:13" x14ac:dyDescent="0.25">
      <c r="A5" s="8"/>
      <c r="B5" t="s">
        <v>42</v>
      </c>
      <c r="C5">
        <v>20</v>
      </c>
      <c r="D5" t="s">
        <v>69</v>
      </c>
      <c r="E5" s="9">
        <v>21000</v>
      </c>
      <c r="F5" s="9">
        <f t="shared" si="0"/>
        <v>420000</v>
      </c>
      <c r="H5" t="s">
        <v>139</v>
      </c>
      <c r="I5" s="17">
        <f>60/100*9*L5*I2</f>
        <v>1214999.9999999998</v>
      </c>
      <c r="K5" t="s">
        <v>140</v>
      </c>
      <c r="L5" s="9">
        <v>7500</v>
      </c>
      <c r="M5" t="s">
        <v>146</v>
      </c>
    </row>
    <row r="6" spans="1:13" x14ac:dyDescent="0.25">
      <c r="A6" s="8"/>
      <c r="B6" t="s">
        <v>82</v>
      </c>
      <c r="C6">
        <v>45</v>
      </c>
      <c r="D6" t="s">
        <v>72</v>
      </c>
      <c r="E6" s="9">
        <v>20000</v>
      </c>
      <c r="F6" s="9">
        <f t="shared" si="0"/>
        <v>900000</v>
      </c>
      <c r="H6" t="s">
        <v>48</v>
      </c>
      <c r="I6" s="9">
        <f>+SUM(C2:C108)*L6</f>
        <v>859000</v>
      </c>
      <c r="K6" t="s">
        <v>48</v>
      </c>
      <c r="L6" s="9">
        <v>500</v>
      </c>
      <c r="M6" t="s">
        <v>147</v>
      </c>
    </row>
    <row r="7" spans="1:13" x14ac:dyDescent="0.25">
      <c r="A7" s="8"/>
      <c r="B7" t="s">
        <v>52</v>
      </c>
      <c r="C7">
        <v>40</v>
      </c>
      <c r="D7" t="s">
        <v>72</v>
      </c>
      <c r="E7" s="9">
        <v>20000</v>
      </c>
      <c r="F7" s="9">
        <f t="shared" si="0"/>
        <v>800000</v>
      </c>
      <c r="H7" t="s">
        <v>142</v>
      </c>
      <c r="I7" s="9">
        <f>+L7*9*31</f>
        <v>17577000</v>
      </c>
      <c r="K7" t="s">
        <v>142</v>
      </c>
      <c r="L7" s="9">
        <v>63000</v>
      </c>
      <c r="M7" t="s">
        <v>148</v>
      </c>
    </row>
    <row r="8" spans="1:13" x14ac:dyDescent="0.25">
      <c r="A8" s="8"/>
      <c r="B8" t="s">
        <v>52</v>
      </c>
      <c r="C8">
        <v>15</v>
      </c>
      <c r="D8" t="s">
        <v>69</v>
      </c>
      <c r="E8" s="9">
        <v>21000</v>
      </c>
      <c r="F8" s="9">
        <f t="shared" si="0"/>
        <v>315000</v>
      </c>
      <c r="H8" t="s">
        <v>145</v>
      </c>
      <c r="I8" s="9">
        <f>+L8*31</f>
        <v>3144285.7142857146</v>
      </c>
      <c r="K8" t="s">
        <v>143</v>
      </c>
      <c r="L8" s="9">
        <f>500000/7+30000</f>
        <v>101428.57142857143</v>
      </c>
      <c r="M8" t="s">
        <v>149</v>
      </c>
    </row>
    <row r="9" spans="1:13" x14ac:dyDescent="0.25">
      <c r="A9" s="8">
        <v>45294</v>
      </c>
      <c r="B9" t="s">
        <v>39</v>
      </c>
      <c r="C9">
        <v>25</v>
      </c>
      <c r="D9" t="s">
        <v>72</v>
      </c>
      <c r="E9" s="9">
        <v>19000</v>
      </c>
      <c r="F9" s="9">
        <f t="shared" si="0"/>
        <v>475000</v>
      </c>
      <c r="H9" t="s">
        <v>150</v>
      </c>
      <c r="I9" s="9">
        <v>15000</v>
      </c>
      <c r="J9" s="27"/>
    </row>
    <row r="10" spans="1:13" x14ac:dyDescent="0.25">
      <c r="A10" s="8">
        <v>45295</v>
      </c>
      <c r="B10" t="s">
        <v>101</v>
      </c>
      <c r="C10">
        <v>12</v>
      </c>
      <c r="D10" t="s">
        <v>69</v>
      </c>
      <c r="E10" s="9">
        <v>21000</v>
      </c>
      <c r="F10" s="9">
        <f t="shared" si="0"/>
        <v>252000</v>
      </c>
      <c r="H10" t="s">
        <v>151</v>
      </c>
      <c r="I10" s="9">
        <v>150000</v>
      </c>
    </row>
    <row r="11" spans="1:13" x14ac:dyDescent="0.25">
      <c r="A11" s="8"/>
      <c r="B11" t="s">
        <v>105</v>
      </c>
      <c r="C11">
        <v>20</v>
      </c>
      <c r="D11" t="s">
        <v>72</v>
      </c>
      <c r="E11" s="9">
        <v>21000</v>
      </c>
      <c r="F11" s="9">
        <f t="shared" si="0"/>
        <v>420000</v>
      </c>
      <c r="H11" t="s">
        <v>152</v>
      </c>
      <c r="I11" s="9">
        <f>+SUM(I5:I10)</f>
        <v>22960285.714285716</v>
      </c>
    </row>
    <row r="12" spans="1:13" x14ac:dyDescent="0.25">
      <c r="A12" s="8"/>
      <c r="B12" t="s">
        <v>102</v>
      </c>
      <c r="C12">
        <v>6</v>
      </c>
      <c r="D12" t="s">
        <v>96</v>
      </c>
      <c r="E12" s="9">
        <v>24000</v>
      </c>
      <c r="F12" s="9">
        <f t="shared" si="0"/>
        <v>144000</v>
      </c>
    </row>
    <row r="13" spans="1:13" x14ac:dyDescent="0.25">
      <c r="A13" s="8"/>
      <c r="B13" t="s">
        <v>52</v>
      </c>
      <c r="C13">
        <v>11</v>
      </c>
      <c r="D13" t="s">
        <v>69</v>
      </c>
      <c r="E13" s="9">
        <v>21000</v>
      </c>
      <c r="F13" s="9">
        <f t="shared" si="0"/>
        <v>231000</v>
      </c>
      <c r="H13" t="s">
        <v>153</v>
      </c>
      <c r="I13" s="9">
        <f>+SUM(F2:F108)</f>
        <v>33071000</v>
      </c>
    </row>
    <row r="14" spans="1:13" ht="15.75" thickBot="1" x14ac:dyDescent="0.3">
      <c r="A14" s="8"/>
      <c r="B14" t="s">
        <v>52</v>
      </c>
      <c r="C14">
        <v>35</v>
      </c>
      <c r="D14" t="s">
        <v>72</v>
      </c>
      <c r="E14" s="9">
        <v>20000</v>
      </c>
      <c r="F14" s="9">
        <f t="shared" si="0"/>
        <v>700000</v>
      </c>
    </row>
    <row r="15" spans="1:13" ht="15.75" thickBot="1" x14ac:dyDescent="0.3">
      <c r="A15" s="8"/>
      <c r="B15" t="s">
        <v>43</v>
      </c>
      <c r="C15">
        <v>25</v>
      </c>
      <c r="D15" t="s">
        <v>71</v>
      </c>
      <c r="E15" s="9">
        <v>20000</v>
      </c>
      <c r="F15" s="9">
        <f t="shared" si="0"/>
        <v>500000</v>
      </c>
      <c r="H15" s="34" t="s">
        <v>154</v>
      </c>
      <c r="I15" s="35">
        <f>+I13-I11</f>
        <v>10110714.285714284</v>
      </c>
    </row>
    <row r="16" spans="1:13" x14ac:dyDescent="0.25">
      <c r="A16" s="8">
        <v>45297</v>
      </c>
      <c r="B16" t="s">
        <v>100</v>
      </c>
      <c r="C16">
        <v>5</v>
      </c>
      <c r="D16" t="s">
        <v>96</v>
      </c>
      <c r="E16" s="9">
        <v>24000</v>
      </c>
      <c r="F16" s="9">
        <f t="shared" si="0"/>
        <v>120000</v>
      </c>
    </row>
    <row r="17" spans="1:6" x14ac:dyDescent="0.25">
      <c r="A17" s="8"/>
      <c r="B17" t="s">
        <v>98</v>
      </c>
      <c r="C17">
        <v>8</v>
      </c>
      <c r="D17" t="s">
        <v>71</v>
      </c>
      <c r="E17" s="9">
        <v>20000</v>
      </c>
      <c r="F17" s="9">
        <f t="shared" si="0"/>
        <v>160000</v>
      </c>
    </row>
    <row r="18" spans="1:6" x14ac:dyDescent="0.25">
      <c r="A18" s="8"/>
      <c r="B18" t="s">
        <v>42</v>
      </c>
      <c r="C18">
        <v>15</v>
      </c>
      <c r="D18" t="s">
        <v>69</v>
      </c>
      <c r="E18" s="9">
        <v>21000</v>
      </c>
      <c r="F18" s="9">
        <f t="shared" si="0"/>
        <v>315000</v>
      </c>
    </row>
    <row r="19" spans="1:6" x14ac:dyDescent="0.25">
      <c r="A19" s="8"/>
      <c r="B19" t="s">
        <v>52</v>
      </c>
      <c r="C19">
        <v>40</v>
      </c>
      <c r="D19" t="s">
        <v>72</v>
      </c>
      <c r="E19" s="9">
        <v>20000</v>
      </c>
      <c r="F19" s="9">
        <f t="shared" si="0"/>
        <v>800000</v>
      </c>
    </row>
    <row r="20" spans="1:6" x14ac:dyDescent="0.25">
      <c r="A20" s="8"/>
      <c r="B20" t="s">
        <v>52</v>
      </c>
      <c r="C20">
        <v>6</v>
      </c>
      <c r="D20" t="s">
        <v>69</v>
      </c>
      <c r="E20" s="9">
        <v>21000</v>
      </c>
      <c r="F20" s="9">
        <f t="shared" si="0"/>
        <v>126000</v>
      </c>
    </row>
    <row r="21" spans="1:6" x14ac:dyDescent="0.25">
      <c r="A21" s="8"/>
      <c r="B21" t="s">
        <v>97</v>
      </c>
      <c r="C21">
        <v>5</v>
      </c>
      <c r="D21" t="s">
        <v>72</v>
      </c>
      <c r="E21" s="9">
        <v>21000</v>
      </c>
      <c r="F21" s="9">
        <f t="shared" si="0"/>
        <v>105000</v>
      </c>
    </row>
    <row r="22" spans="1:6" x14ac:dyDescent="0.25">
      <c r="A22" s="8"/>
      <c r="B22" t="s">
        <v>117</v>
      </c>
      <c r="C22">
        <v>3</v>
      </c>
      <c r="D22" t="s">
        <v>72</v>
      </c>
      <c r="E22" s="9">
        <v>21000</v>
      </c>
      <c r="F22" s="9">
        <f t="shared" si="0"/>
        <v>63000</v>
      </c>
    </row>
    <row r="23" spans="1:6" x14ac:dyDescent="0.25">
      <c r="A23" s="8"/>
      <c r="B23" t="s">
        <v>119</v>
      </c>
      <c r="C23">
        <v>4</v>
      </c>
      <c r="D23" t="s">
        <v>72</v>
      </c>
      <c r="E23" s="9">
        <v>22000</v>
      </c>
      <c r="F23" s="9">
        <f t="shared" si="0"/>
        <v>88000</v>
      </c>
    </row>
    <row r="24" spans="1:6" x14ac:dyDescent="0.25">
      <c r="A24" s="8">
        <v>45298</v>
      </c>
      <c r="B24" t="s">
        <v>39</v>
      </c>
      <c r="C24">
        <v>22</v>
      </c>
      <c r="D24" t="s">
        <v>72</v>
      </c>
      <c r="E24" s="9">
        <v>20000</v>
      </c>
      <c r="F24" s="9">
        <f t="shared" si="0"/>
        <v>440000</v>
      </c>
    </row>
    <row r="25" spans="1:6" x14ac:dyDescent="0.25">
      <c r="A25" s="8"/>
      <c r="B25" t="s">
        <v>39</v>
      </c>
      <c r="C25">
        <v>6</v>
      </c>
      <c r="D25" t="s">
        <v>71</v>
      </c>
      <c r="E25" s="9">
        <v>18000</v>
      </c>
      <c r="F25" s="9">
        <f t="shared" si="0"/>
        <v>108000</v>
      </c>
    </row>
    <row r="26" spans="1:6" x14ac:dyDescent="0.25">
      <c r="A26" s="8">
        <v>45299</v>
      </c>
      <c r="B26" t="s">
        <v>82</v>
      </c>
      <c r="C26">
        <v>50</v>
      </c>
      <c r="D26" t="s">
        <v>72</v>
      </c>
      <c r="E26" s="9">
        <v>20000</v>
      </c>
      <c r="F26" s="9">
        <f t="shared" si="0"/>
        <v>1000000</v>
      </c>
    </row>
    <row r="27" spans="1:6" x14ac:dyDescent="0.25">
      <c r="A27" s="8"/>
      <c r="B27" t="s">
        <v>87</v>
      </c>
      <c r="C27">
        <v>6</v>
      </c>
      <c r="D27" t="s">
        <v>72</v>
      </c>
      <c r="E27" s="9">
        <v>22000</v>
      </c>
      <c r="F27" s="9">
        <f t="shared" si="0"/>
        <v>132000</v>
      </c>
    </row>
    <row r="28" spans="1:6" x14ac:dyDescent="0.25">
      <c r="A28" s="8">
        <v>45300</v>
      </c>
      <c r="B28" t="s">
        <v>80</v>
      </c>
      <c r="C28">
        <v>15</v>
      </c>
      <c r="D28" t="s">
        <v>69</v>
      </c>
      <c r="E28" s="9">
        <v>23000</v>
      </c>
      <c r="F28" s="9">
        <f t="shared" si="0"/>
        <v>345000</v>
      </c>
    </row>
    <row r="29" spans="1:6" x14ac:dyDescent="0.25">
      <c r="A29" s="8"/>
      <c r="B29" t="s">
        <v>105</v>
      </c>
      <c r="C29">
        <v>15</v>
      </c>
      <c r="D29" t="s">
        <v>72</v>
      </c>
      <c r="E29" s="9">
        <v>21000</v>
      </c>
      <c r="F29" s="9">
        <f t="shared" si="0"/>
        <v>315000</v>
      </c>
    </row>
    <row r="30" spans="1:6" x14ac:dyDescent="0.25">
      <c r="A30" s="8"/>
      <c r="B30" t="s">
        <v>42</v>
      </c>
      <c r="C30">
        <v>18</v>
      </c>
      <c r="D30" t="s">
        <v>69</v>
      </c>
      <c r="E30" s="9">
        <v>21000</v>
      </c>
      <c r="F30" s="9">
        <f t="shared" si="0"/>
        <v>378000</v>
      </c>
    </row>
    <row r="31" spans="1:6" x14ac:dyDescent="0.25">
      <c r="A31" s="8"/>
      <c r="C31">
        <v>100</v>
      </c>
      <c r="D31" t="s">
        <v>134</v>
      </c>
      <c r="E31" s="9">
        <v>500</v>
      </c>
      <c r="F31" s="9">
        <f t="shared" si="0"/>
        <v>50000</v>
      </c>
    </row>
    <row r="32" spans="1:6" x14ac:dyDescent="0.25">
      <c r="A32" s="8">
        <v>45301</v>
      </c>
      <c r="B32" t="s">
        <v>101</v>
      </c>
      <c r="C32">
        <v>15</v>
      </c>
      <c r="D32" t="s">
        <v>69</v>
      </c>
      <c r="E32" s="9">
        <v>21000</v>
      </c>
      <c r="F32" s="9">
        <f t="shared" si="0"/>
        <v>315000</v>
      </c>
    </row>
    <row r="33" spans="1:6" x14ac:dyDescent="0.25">
      <c r="A33" s="8"/>
      <c r="B33" t="s">
        <v>117</v>
      </c>
      <c r="C33">
        <v>3</v>
      </c>
      <c r="D33" t="s">
        <v>69</v>
      </c>
      <c r="E33" s="9">
        <v>22000</v>
      </c>
      <c r="F33" s="9">
        <f t="shared" si="0"/>
        <v>66000</v>
      </c>
    </row>
    <row r="34" spans="1:6" x14ac:dyDescent="0.25">
      <c r="A34" s="8"/>
      <c r="B34" t="s">
        <v>52</v>
      </c>
      <c r="C34">
        <v>47</v>
      </c>
      <c r="D34" t="s">
        <v>72</v>
      </c>
      <c r="E34" s="9">
        <v>20000</v>
      </c>
      <c r="F34" s="9">
        <f t="shared" ref="F34:F65" si="1">+E34*C34</f>
        <v>940000</v>
      </c>
    </row>
    <row r="35" spans="1:6" x14ac:dyDescent="0.25">
      <c r="A35" s="8"/>
      <c r="B35" t="s">
        <v>130</v>
      </c>
      <c r="C35">
        <v>15</v>
      </c>
      <c r="D35" t="s">
        <v>72</v>
      </c>
      <c r="E35" s="9">
        <v>20000</v>
      </c>
      <c r="F35" s="9">
        <f t="shared" si="1"/>
        <v>300000</v>
      </c>
    </row>
    <row r="36" spans="1:6" x14ac:dyDescent="0.25">
      <c r="A36" s="8">
        <v>45302</v>
      </c>
      <c r="B36" t="s">
        <v>39</v>
      </c>
      <c r="C36">
        <v>20</v>
      </c>
      <c r="D36" t="s">
        <v>72</v>
      </c>
      <c r="E36" s="9">
        <v>20000</v>
      </c>
      <c r="F36" s="9">
        <f t="shared" si="1"/>
        <v>400000</v>
      </c>
    </row>
    <row r="37" spans="1:6" x14ac:dyDescent="0.25">
      <c r="A37" s="8"/>
      <c r="B37" t="s">
        <v>39</v>
      </c>
      <c r="C37">
        <v>13</v>
      </c>
      <c r="D37" t="s">
        <v>71</v>
      </c>
      <c r="E37" s="9">
        <v>18000</v>
      </c>
      <c r="F37" s="9">
        <f t="shared" si="1"/>
        <v>234000</v>
      </c>
    </row>
    <row r="38" spans="1:6" x14ac:dyDescent="0.25">
      <c r="A38" s="8">
        <v>45303</v>
      </c>
      <c r="B38" t="s">
        <v>64</v>
      </c>
      <c r="C38">
        <v>3</v>
      </c>
      <c r="D38" t="s">
        <v>72</v>
      </c>
      <c r="E38" s="9">
        <v>22000</v>
      </c>
      <c r="F38" s="9">
        <f t="shared" si="1"/>
        <v>66000</v>
      </c>
    </row>
    <row r="39" spans="1:6" x14ac:dyDescent="0.25">
      <c r="A39" s="8"/>
      <c r="B39" t="s">
        <v>45</v>
      </c>
      <c r="C39">
        <v>1</v>
      </c>
      <c r="D39" t="s">
        <v>71</v>
      </c>
      <c r="E39" s="9">
        <v>20000</v>
      </c>
      <c r="F39" s="9">
        <f t="shared" si="1"/>
        <v>20000</v>
      </c>
    </row>
    <row r="40" spans="1:6" x14ac:dyDescent="0.25">
      <c r="A40" s="8"/>
      <c r="B40" t="s">
        <v>119</v>
      </c>
      <c r="C40">
        <v>4</v>
      </c>
      <c r="D40" t="s">
        <v>69</v>
      </c>
      <c r="E40" s="9">
        <v>23000</v>
      </c>
      <c r="F40" s="9">
        <f t="shared" si="1"/>
        <v>92000</v>
      </c>
    </row>
    <row r="41" spans="1:6" x14ac:dyDescent="0.25">
      <c r="A41" s="8"/>
      <c r="B41" t="s">
        <v>82</v>
      </c>
      <c r="C41">
        <v>44</v>
      </c>
      <c r="D41" t="s">
        <v>72</v>
      </c>
      <c r="E41" s="9">
        <v>20000</v>
      </c>
      <c r="F41" s="9">
        <f t="shared" si="1"/>
        <v>880000</v>
      </c>
    </row>
    <row r="42" spans="1:6" x14ac:dyDescent="0.25">
      <c r="A42" s="8"/>
      <c r="B42" t="s">
        <v>107</v>
      </c>
      <c r="C42">
        <v>2</v>
      </c>
      <c r="D42" t="s">
        <v>69</v>
      </c>
      <c r="E42" s="9">
        <v>25000</v>
      </c>
      <c r="F42" s="9">
        <f t="shared" si="1"/>
        <v>50000</v>
      </c>
    </row>
    <row r="43" spans="1:6" x14ac:dyDescent="0.25">
      <c r="A43" s="8">
        <v>45305</v>
      </c>
      <c r="B43" t="s">
        <v>39</v>
      </c>
      <c r="C43">
        <v>6</v>
      </c>
      <c r="D43" t="s">
        <v>71</v>
      </c>
      <c r="E43" s="9">
        <v>18000</v>
      </c>
      <c r="F43" s="9">
        <f t="shared" si="1"/>
        <v>108000</v>
      </c>
    </row>
    <row r="44" spans="1:6" x14ac:dyDescent="0.25">
      <c r="A44" s="8"/>
      <c r="B44" t="s">
        <v>39</v>
      </c>
      <c r="C44">
        <v>20</v>
      </c>
      <c r="D44" t="s">
        <v>72</v>
      </c>
      <c r="E44" s="9">
        <v>20000</v>
      </c>
      <c r="F44" s="9">
        <f t="shared" si="1"/>
        <v>400000</v>
      </c>
    </row>
    <row r="45" spans="1:6" x14ac:dyDescent="0.25">
      <c r="A45" s="8">
        <v>45306</v>
      </c>
      <c r="B45" t="s">
        <v>43</v>
      </c>
      <c r="C45">
        <v>5</v>
      </c>
      <c r="D45" t="s">
        <v>69</v>
      </c>
      <c r="E45" s="9">
        <v>22000</v>
      </c>
      <c r="F45" s="9">
        <f t="shared" si="1"/>
        <v>110000</v>
      </c>
    </row>
    <row r="46" spans="1:6" x14ac:dyDescent="0.25">
      <c r="A46" s="8"/>
      <c r="B46" t="s">
        <v>43</v>
      </c>
      <c r="C46">
        <v>2</v>
      </c>
      <c r="D46" t="s">
        <v>71</v>
      </c>
      <c r="E46" s="9">
        <v>20000</v>
      </c>
      <c r="F46" s="9">
        <f t="shared" si="1"/>
        <v>40000</v>
      </c>
    </row>
    <row r="47" spans="1:6" x14ac:dyDescent="0.25">
      <c r="A47" s="8">
        <v>45307</v>
      </c>
      <c r="B47" t="s">
        <v>82</v>
      </c>
      <c r="C47">
        <v>50</v>
      </c>
      <c r="D47" t="s">
        <v>72</v>
      </c>
      <c r="E47" s="9">
        <v>20000</v>
      </c>
      <c r="F47" s="9">
        <f t="shared" si="1"/>
        <v>1000000</v>
      </c>
    </row>
    <row r="48" spans="1:6" x14ac:dyDescent="0.25">
      <c r="A48" s="8"/>
      <c r="B48" t="s">
        <v>87</v>
      </c>
      <c r="C48">
        <v>6</v>
      </c>
      <c r="D48" t="s">
        <v>72</v>
      </c>
      <c r="E48" s="9">
        <v>22000</v>
      </c>
      <c r="F48" s="9">
        <f t="shared" si="1"/>
        <v>132000</v>
      </c>
    </row>
    <row r="49" spans="1:6" x14ac:dyDescent="0.25">
      <c r="A49" s="8"/>
      <c r="B49" t="s">
        <v>85</v>
      </c>
      <c r="C49">
        <v>4</v>
      </c>
      <c r="D49" t="s">
        <v>69</v>
      </c>
      <c r="E49" s="9">
        <v>23000</v>
      </c>
      <c r="F49" s="9">
        <f t="shared" si="1"/>
        <v>92000</v>
      </c>
    </row>
    <row r="50" spans="1:6" x14ac:dyDescent="0.25">
      <c r="A50" s="8"/>
      <c r="B50" t="s">
        <v>52</v>
      </c>
      <c r="C50">
        <v>52</v>
      </c>
      <c r="D50" t="s">
        <v>72</v>
      </c>
      <c r="E50" s="9">
        <v>20000</v>
      </c>
      <c r="F50" s="9">
        <f t="shared" si="1"/>
        <v>1040000</v>
      </c>
    </row>
    <row r="51" spans="1:6" x14ac:dyDescent="0.25">
      <c r="A51" s="8">
        <v>45308</v>
      </c>
      <c r="B51" t="s">
        <v>39</v>
      </c>
      <c r="C51">
        <v>10</v>
      </c>
      <c r="D51" t="s">
        <v>71</v>
      </c>
      <c r="E51" s="9">
        <v>18000</v>
      </c>
      <c r="F51" s="9">
        <f t="shared" si="1"/>
        <v>180000</v>
      </c>
    </row>
    <row r="52" spans="1:6" x14ac:dyDescent="0.25">
      <c r="A52" s="8"/>
      <c r="B52" t="s">
        <v>39</v>
      </c>
      <c r="C52">
        <v>20</v>
      </c>
      <c r="D52" t="s">
        <v>72</v>
      </c>
      <c r="E52" s="9">
        <v>20000</v>
      </c>
      <c r="F52" s="9">
        <f t="shared" si="1"/>
        <v>400000</v>
      </c>
    </row>
    <row r="53" spans="1:6" x14ac:dyDescent="0.25">
      <c r="A53" s="8">
        <v>45308</v>
      </c>
      <c r="B53" t="s">
        <v>101</v>
      </c>
      <c r="C53">
        <v>15</v>
      </c>
      <c r="D53" t="s">
        <v>69</v>
      </c>
      <c r="E53" s="9">
        <v>21000</v>
      </c>
      <c r="F53" s="9">
        <f t="shared" si="1"/>
        <v>315000</v>
      </c>
    </row>
    <row r="54" spans="1:6" x14ac:dyDescent="0.25">
      <c r="A54" s="8"/>
      <c r="B54" t="s">
        <v>45</v>
      </c>
      <c r="C54">
        <v>3</v>
      </c>
      <c r="D54" t="s">
        <v>72</v>
      </c>
      <c r="E54" s="9">
        <v>20000</v>
      </c>
      <c r="F54" s="9">
        <f t="shared" si="1"/>
        <v>60000</v>
      </c>
    </row>
    <row r="55" spans="1:6" x14ac:dyDescent="0.25">
      <c r="A55" s="8"/>
      <c r="B55" t="s">
        <v>117</v>
      </c>
      <c r="C55">
        <v>3</v>
      </c>
      <c r="D55" t="s">
        <v>96</v>
      </c>
      <c r="E55" s="9">
        <v>23000</v>
      </c>
      <c r="F55" s="9">
        <f t="shared" si="1"/>
        <v>69000</v>
      </c>
    </row>
    <row r="56" spans="1:6" x14ac:dyDescent="0.25">
      <c r="A56" s="8">
        <v>45309</v>
      </c>
      <c r="B56" t="s">
        <v>80</v>
      </c>
      <c r="C56">
        <v>15</v>
      </c>
      <c r="D56" t="s">
        <v>69</v>
      </c>
      <c r="E56" s="9">
        <v>23000</v>
      </c>
      <c r="F56" s="9">
        <f t="shared" si="1"/>
        <v>345000</v>
      </c>
    </row>
    <row r="57" spans="1:6" x14ac:dyDescent="0.25">
      <c r="A57" s="8"/>
      <c r="B57" t="s">
        <v>42</v>
      </c>
      <c r="C57">
        <v>20</v>
      </c>
      <c r="D57" t="s">
        <v>69</v>
      </c>
      <c r="E57" s="9">
        <v>21000</v>
      </c>
      <c r="F57" s="9">
        <f t="shared" si="1"/>
        <v>420000</v>
      </c>
    </row>
    <row r="58" spans="1:6" x14ac:dyDescent="0.25">
      <c r="A58" s="8"/>
      <c r="B58" t="s">
        <v>124</v>
      </c>
      <c r="C58">
        <v>10</v>
      </c>
      <c r="D58" t="s">
        <v>72</v>
      </c>
      <c r="E58" s="9">
        <v>21000</v>
      </c>
      <c r="F58" s="9">
        <f t="shared" si="1"/>
        <v>210000</v>
      </c>
    </row>
    <row r="59" spans="1:6" x14ac:dyDescent="0.25">
      <c r="A59" s="8"/>
      <c r="B59" t="s">
        <v>82</v>
      </c>
      <c r="C59">
        <v>29</v>
      </c>
      <c r="D59" t="s">
        <v>72</v>
      </c>
      <c r="E59" s="9">
        <v>20000</v>
      </c>
      <c r="F59" s="9">
        <f t="shared" si="1"/>
        <v>580000</v>
      </c>
    </row>
    <row r="60" spans="1:6" x14ac:dyDescent="0.25">
      <c r="A60" s="8">
        <v>45310</v>
      </c>
      <c r="B60" t="s">
        <v>135</v>
      </c>
      <c r="C60">
        <v>2</v>
      </c>
      <c r="D60" t="s">
        <v>72</v>
      </c>
      <c r="E60" s="9">
        <v>22000</v>
      </c>
      <c r="F60" s="9">
        <f t="shared" si="1"/>
        <v>44000</v>
      </c>
    </row>
    <row r="61" spans="1:6" x14ac:dyDescent="0.25">
      <c r="A61" s="8"/>
      <c r="B61" t="s">
        <v>121</v>
      </c>
      <c r="C61">
        <v>4</v>
      </c>
      <c r="D61" t="s">
        <v>72</v>
      </c>
      <c r="E61" s="9">
        <v>20000</v>
      </c>
      <c r="F61" s="9">
        <f t="shared" si="1"/>
        <v>80000</v>
      </c>
    </row>
    <row r="62" spans="1:6" x14ac:dyDescent="0.25">
      <c r="A62" s="8"/>
      <c r="C62">
        <v>2</v>
      </c>
      <c r="D62" t="s">
        <v>69</v>
      </c>
      <c r="E62" s="9">
        <v>23000</v>
      </c>
      <c r="F62" s="9">
        <f t="shared" si="1"/>
        <v>46000</v>
      </c>
    </row>
    <row r="63" spans="1:6" x14ac:dyDescent="0.25">
      <c r="A63" s="8">
        <v>45311</v>
      </c>
      <c r="B63" t="s">
        <v>100</v>
      </c>
      <c r="C63">
        <v>3</v>
      </c>
      <c r="D63" t="s">
        <v>69</v>
      </c>
      <c r="E63" s="9">
        <v>24000</v>
      </c>
      <c r="F63" s="9">
        <f t="shared" si="1"/>
        <v>72000</v>
      </c>
    </row>
    <row r="64" spans="1:6" x14ac:dyDescent="0.25">
      <c r="A64" s="8"/>
      <c r="B64" t="s">
        <v>119</v>
      </c>
      <c r="C64">
        <v>4</v>
      </c>
      <c r="D64" t="s">
        <v>69</v>
      </c>
      <c r="E64" s="9">
        <v>23000</v>
      </c>
      <c r="F64" s="9">
        <f t="shared" si="1"/>
        <v>92000</v>
      </c>
    </row>
    <row r="65" spans="1:6" x14ac:dyDescent="0.25">
      <c r="A65" s="8"/>
      <c r="B65" t="s">
        <v>130</v>
      </c>
      <c r="C65">
        <v>10</v>
      </c>
      <c r="D65" t="s">
        <v>72</v>
      </c>
      <c r="E65" s="9">
        <v>21000</v>
      </c>
      <c r="F65" s="9">
        <f t="shared" si="1"/>
        <v>210000</v>
      </c>
    </row>
    <row r="66" spans="1:6" x14ac:dyDescent="0.25">
      <c r="A66" s="8"/>
      <c r="B66" t="s">
        <v>52</v>
      </c>
      <c r="C66">
        <v>36</v>
      </c>
      <c r="D66" t="s">
        <v>72</v>
      </c>
      <c r="E66" s="9">
        <v>20000</v>
      </c>
      <c r="F66" s="9">
        <f t="shared" ref="F66:F97" si="2">+E66*C66</f>
        <v>720000</v>
      </c>
    </row>
    <row r="67" spans="1:6" x14ac:dyDescent="0.25">
      <c r="A67" s="8"/>
      <c r="B67" t="s">
        <v>52</v>
      </c>
      <c r="C67">
        <v>6</v>
      </c>
      <c r="D67" t="s">
        <v>69</v>
      </c>
      <c r="E67" s="9">
        <v>21000</v>
      </c>
      <c r="F67" s="9">
        <f t="shared" si="2"/>
        <v>126000</v>
      </c>
    </row>
    <row r="68" spans="1:6" x14ac:dyDescent="0.25">
      <c r="A68" s="8"/>
      <c r="B68" t="s">
        <v>97</v>
      </c>
      <c r="C68">
        <v>5</v>
      </c>
      <c r="D68" t="s">
        <v>72</v>
      </c>
      <c r="E68" s="9">
        <v>22000</v>
      </c>
      <c r="F68" s="9">
        <f t="shared" si="2"/>
        <v>110000</v>
      </c>
    </row>
    <row r="69" spans="1:6" x14ac:dyDescent="0.25">
      <c r="A69" s="8"/>
      <c r="B69" t="s">
        <v>102</v>
      </c>
      <c r="C69">
        <v>5</v>
      </c>
      <c r="D69" t="s">
        <v>96</v>
      </c>
      <c r="E69" s="9">
        <v>24000</v>
      </c>
      <c r="F69" s="9">
        <f t="shared" si="2"/>
        <v>120000</v>
      </c>
    </row>
    <row r="70" spans="1:6" x14ac:dyDescent="0.25">
      <c r="A70" s="8"/>
      <c r="B70" t="s">
        <v>135</v>
      </c>
      <c r="C70">
        <v>3</v>
      </c>
      <c r="D70" t="s">
        <v>69</v>
      </c>
      <c r="E70" s="9">
        <v>22000</v>
      </c>
      <c r="F70" s="9">
        <f t="shared" si="2"/>
        <v>66000</v>
      </c>
    </row>
    <row r="71" spans="1:6" x14ac:dyDescent="0.25">
      <c r="A71" s="8">
        <v>45312</v>
      </c>
      <c r="B71" t="s">
        <v>133</v>
      </c>
      <c r="C71">
        <v>13</v>
      </c>
      <c r="D71" t="s">
        <v>69</v>
      </c>
      <c r="E71" s="9">
        <v>23000</v>
      </c>
      <c r="F71" s="9">
        <f t="shared" si="2"/>
        <v>299000</v>
      </c>
    </row>
    <row r="72" spans="1:6" x14ac:dyDescent="0.25">
      <c r="A72" s="8">
        <v>45313</v>
      </c>
      <c r="B72" t="s">
        <v>52</v>
      </c>
      <c r="C72">
        <v>70</v>
      </c>
      <c r="D72" t="s">
        <v>72</v>
      </c>
      <c r="E72" s="9">
        <v>20000</v>
      </c>
      <c r="F72" s="9">
        <f t="shared" si="2"/>
        <v>1400000</v>
      </c>
    </row>
    <row r="73" spans="1:6" x14ac:dyDescent="0.25">
      <c r="A73" s="8"/>
      <c r="B73" t="s">
        <v>42</v>
      </c>
      <c r="C73">
        <v>15</v>
      </c>
      <c r="D73" t="s">
        <v>69</v>
      </c>
      <c r="E73" s="9">
        <v>21000</v>
      </c>
      <c r="F73" s="9">
        <f t="shared" si="2"/>
        <v>315000</v>
      </c>
    </row>
    <row r="74" spans="1:6" x14ac:dyDescent="0.25">
      <c r="A74" s="8"/>
      <c r="B74" t="s">
        <v>89</v>
      </c>
      <c r="C74">
        <v>10</v>
      </c>
      <c r="D74" t="s">
        <v>72</v>
      </c>
      <c r="E74" s="9">
        <v>22000</v>
      </c>
      <c r="F74" s="9">
        <f t="shared" si="2"/>
        <v>220000</v>
      </c>
    </row>
    <row r="75" spans="1:6" x14ac:dyDescent="0.25">
      <c r="A75" s="8"/>
      <c r="B75" t="s">
        <v>113</v>
      </c>
      <c r="C75">
        <v>3</v>
      </c>
      <c r="D75" t="s">
        <v>72</v>
      </c>
      <c r="E75" s="9">
        <v>22000</v>
      </c>
      <c r="F75" s="9">
        <f t="shared" si="2"/>
        <v>66000</v>
      </c>
    </row>
    <row r="76" spans="1:6" x14ac:dyDescent="0.25">
      <c r="A76" s="8"/>
      <c r="B76" t="s">
        <v>135</v>
      </c>
      <c r="C76">
        <v>3</v>
      </c>
      <c r="D76" t="s">
        <v>72</v>
      </c>
      <c r="E76" s="9">
        <v>22000</v>
      </c>
      <c r="F76" s="9">
        <f t="shared" si="2"/>
        <v>66000</v>
      </c>
    </row>
    <row r="77" spans="1:6" x14ac:dyDescent="0.25">
      <c r="A77" s="8"/>
      <c r="B77" t="s">
        <v>45</v>
      </c>
      <c r="C77">
        <v>1</v>
      </c>
      <c r="D77" t="s">
        <v>72</v>
      </c>
      <c r="E77" s="9">
        <v>20000</v>
      </c>
      <c r="F77" s="9">
        <f t="shared" si="2"/>
        <v>20000</v>
      </c>
    </row>
    <row r="78" spans="1:6" x14ac:dyDescent="0.25">
      <c r="A78" s="8">
        <v>45314</v>
      </c>
      <c r="B78" t="s">
        <v>39</v>
      </c>
      <c r="C78">
        <v>30</v>
      </c>
      <c r="D78" t="s">
        <v>72</v>
      </c>
      <c r="E78" s="9">
        <v>20000</v>
      </c>
      <c r="F78" s="9">
        <f t="shared" si="2"/>
        <v>600000</v>
      </c>
    </row>
    <row r="79" spans="1:6" x14ac:dyDescent="0.25">
      <c r="A79" s="8"/>
      <c r="B79" t="s">
        <v>39</v>
      </c>
      <c r="C79">
        <v>10</v>
      </c>
      <c r="D79" t="s">
        <v>71</v>
      </c>
      <c r="E79" s="9">
        <v>18000</v>
      </c>
      <c r="F79" s="9">
        <f t="shared" si="2"/>
        <v>180000</v>
      </c>
    </row>
    <row r="80" spans="1:6" x14ac:dyDescent="0.25">
      <c r="A80" s="8">
        <v>45315</v>
      </c>
      <c r="B80" t="s">
        <v>135</v>
      </c>
      <c r="C80">
        <v>4</v>
      </c>
      <c r="D80" t="s">
        <v>72</v>
      </c>
      <c r="E80" s="9">
        <v>22000</v>
      </c>
      <c r="F80" s="9">
        <f t="shared" si="2"/>
        <v>88000</v>
      </c>
    </row>
    <row r="81" spans="1:6" x14ac:dyDescent="0.25">
      <c r="A81" s="8"/>
      <c r="B81" t="s">
        <v>45</v>
      </c>
      <c r="C81">
        <v>1</v>
      </c>
      <c r="D81" t="s">
        <v>69</v>
      </c>
      <c r="E81" s="9">
        <v>23000</v>
      </c>
      <c r="F81" s="9">
        <f t="shared" si="2"/>
        <v>23000</v>
      </c>
    </row>
    <row r="82" spans="1:6" x14ac:dyDescent="0.25">
      <c r="A82" s="8"/>
      <c r="B82" t="s">
        <v>87</v>
      </c>
      <c r="C82">
        <v>6</v>
      </c>
      <c r="D82" t="s">
        <v>72</v>
      </c>
      <c r="E82" s="9">
        <v>22000</v>
      </c>
      <c r="F82" s="9">
        <f t="shared" si="2"/>
        <v>132000</v>
      </c>
    </row>
    <row r="83" spans="1:6" x14ac:dyDescent="0.25">
      <c r="A83" s="8">
        <v>45316</v>
      </c>
      <c r="B83" t="s">
        <v>101</v>
      </c>
      <c r="C83">
        <v>15</v>
      </c>
      <c r="D83" t="s">
        <v>69</v>
      </c>
      <c r="E83" s="9">
        <v>21000</v>
      </c>
      <c r="F83" s="9">
        <f t="shared" si="2"/>
        <v>315000</v>
      </c>
    </row>
    <row r="84" spans="1:6" x14ac:dyDescent="0.25">
      <c r="A84" s="8"/>
      <c r="B84" t="s">
        <v>119</v>
      </c>
      <c r="C84">
        <v>4</v>
      </c>
      <c r="D84" t="s">
        <v>69</v>
      </c>
      <c r="E84" s="9">
        <v>23000</v>
      </c>
      <c r="F84" s="9">
        <f t="shared" si="2"/>
        <v>92000</v>
      </c>
    </row>
    <row r="85" spans="1:6" x14ac:dyDescent="0.25">
      <c r="A85" s="8"/>
      <c r="B85" t="s">
        <v>82</v>
      </c>
      <c r="C85">
        <v>54</v>
      </c>
      <c r="D85" t="s">
        <v>72</v>
      </c>
      <c r="E85" s="9">
        <v>20000</v>
      </c>
      <c r="F85" s="9">
        <f t="shared" si="2"/>
        <v>1080000</v>
      </c>
    </row>
    <row r="86" spans="1:6" x14ac:dyDescent="0.25">
      <c r="A86" s="8"/>
      <c r="B86" t="s">
        <v>117</v>
      </c>
      <c r="C86">
        <v>4</v>
      </c>
      <c r="D86" t="s">
        <v>69</v>
      </c>
      <c r="E86" s="9">
        <v>22000</v>
      </c>
      <c r="F86" s="9">
        <f t="shared" si="2"/>
        <v>88000</v>
      </c>
    </row>
    <row r="87" spans="1:6" x14ac:dyDescent="0.25">
      <c r="A87" s="8"/>
      <c r="B87" t="s">
        <v>45</v>
      </c>
      <c r="C87">
        <v>1</v>
      </c>
      <c r="D87" t="s">
        <v>72</v>
      </c>
      <c r="E87" s="9">
        <v>22000</v>
      </c>
      <c r="F87" s="9">
        <f t="shared" si="2"/>
        <v>22000</v>
      </c>
    </row>
    <row r="88" spans="1:6" x14ac:dyDescent="0.25">
      <c r="A88" s="8"/>
      <c r="C88">
        <v>45</v>
      </c>
      <c r="D88" t="s">
        <v>136</v>
      </c>
      <c r="E88" s="9">
        <v>18000</v>
      </c>
      <c r="F88" s="9">
        <f t="shared" si="2"/>
        <v>810000</v>
      </c>
    </row>
    <row r="89" spans="1:6" x14ac:dyDescent="0.25">
      <c r="A89" s="8">
        <v>45317</v>
      </c>
      <c r="B89" t="s">
        <v>121</v>
      </c>
      <c r="C89">
        <v>3</v>
      </c>
      <c r="D89" t="s">
        <v>72</v>
      </c>
      <c r="E89" s="9">
        <v>22000</v>
      </c>
      <c r="F89" s="9">
        <f t="shared" si="2"/>
        <v>66000</v>
      </c>
    </row>
    <row r="90" spans="1:6" x14ac:dyDescent="0.25">
      <c r="A90" s="8">
        <v>45318</v>
      </c>
      <c r="B90" t="s">
        <v>89</v>
      </c>
      <c r="C90">
        <v>10</v>
      </c>
      <c r="D90" t="s">
        <v>72</v>
      </c>
      <c r="E90" s="9">
        <v>23000</v>
      </c>
      <c r="F90" s="9">
        <f t="shared" si="2"/>
        <v>230000</v>
      </c>
    </row>
    <row r="91" spans="1:6" x14ac:dyDescent="0.25">
      <c r="A91" s="8"/>
      <c r="B91" t="s">
        <v>42</v>
      </c>
      <c r="C91">
        <v>20</v>
      </c>
      <c r="D91" t="s">
        <v>69</v>
      </c>
      <c r="E91" s="9">
        <v>21000</v>
      </c>
      <c r="F91" s="9">
        <f t="shared" si="2"/>
        <v>420000</v>
      </c>
    </row>
    <row r="92" spans="1:6" x14ac:dyDescent="0.25">
      <c r="A92" s="8">
        <v>45318</v>
      </c>
      <c r="B92" t="s">
        <v>39</v>
      </c>
      <c r="C92">
        <v>30</v>
      </c>
      <c r="D92" t="s">
        <v>72</v>
      </c>
      <c r="E92" s="9">
        <v>20000</v>
      </c>
      <c r="F92" s="9">
        <f t="shared" si="2"/>
        <v>600000</v>
      </c>
    </row>
    <row r="93" spans="1:6" x14ac:dyDescent="0.25">
      <c r="A93" s="8"/>
      <c r="B93" t="s">
        <v>39</v>
      </c>
      <c r="C93">
        <v>20</v>
      </c>
      <c r="D93" t="s">
        <v>71</v>
      </c>
      <c r="E93" s="9">
        <v>18000</v>
      </c>
      <c r="F93" s="9">
        <f t="shared" si="2"/>
        <v>360000</v>
      </c>
    </row>
    <row r="94" spans="1:6" x14ac:dyDescent="0.25">
      <c r="A94" s="8"/>
      <c r="B94" t="s">
        <v>135</v>
      </c>
      <c r="C94">
        <v>5</v>
      </c>
      <c r="D94" t="s">
        <v>71</v>
      </c>
      <c r="E94" s="9">
        <v>20000</v>
      </c>
      <c r="F94" s="9">
        <f t="shared" si="2"/>
        <v>100000</v>
      </c>
    </row>
    <row r="95" spans="1:6" x14ac:dyDescent="0.25">
      <c r="A95" s="8">
        <v>45319</v>
      </c>
      <c r="B95" t="s">
        <v>45</v>
      </c>
      <c r="C95">
        <v>2</v>
      </c>
      <c r="D95" t="s">
        <v>72</v>
      </c>
      <c r="E95" s="9">
        <v>22000</v>
      </c>
      <c r="F95" s="9">
        <f t="shared" si="2"/>
        <v>44000</v>
      </c>
    </row>
    <row r="96" spans="1:6" x14ac:dyDescent="0.25">
      <c r="A96" s="8">
        <v>45320</v>
      </c>
      <c r="B96" t="s">
        <v>42</v>
      </c>
      <c r="C96">
        <v>20</v>
      </c>
      <c r="D96" t="s">
        <v>69</v>
      </c>
      <c r="E96" s="9">
        <v>22000</v>
      </c>
      <c r="F96" s="9">
        <f t="shared" si="2"/>
        <v>440000</v>
      </c>
    </row>
    <row r="97" spans="1:13" x14ac:dyDescent="0.25">
      <c r="A97" s="8"/>
      <c r="B97" t="s">
        <v>52</v>
      </c>
      <c r="C97">
        <v>80</v>
      </c>
      <c r="D97" t="s">
        <v>72</v>
      </c>
      <c r="E97" s="9">
        <v>20000</v>
      </c>
      <c r="F97" s="9">
        <f t="shared" si="2"/>
        <v>1600000</v>
      </c>
    </row>
    <row r="98" spans="1:13" x14ac:dyDescent="0.25">
      <c r="A98" s="8">
        <v>45321</v>
      </c>
      <c r="B98" t="s">
        <v>87</v>
      </c>
      <c r="C98">
        <v>8</v>
      </c>
      <c r="D98" t="s">
        <v>72</v>
      </c>
      <c r="E98" s="9">
        <v>22000</v>
      </c>
      <c r="F98" s="9">
        <f t="shared" ref="F98:F349" si="3">+E98*C98</f>
        <v>176000</v>
      </c>
    </row>
    <row r="99" spans="1:13" x14ac:dyDescent="0.25">
      <c r="A99" s="8">
        <v>45322</v>
      </c>
      <c r="B99" t="s">
        <v>101</v>
      </c>
      <c r="C99">
        <v>15</v>
      </c>
      <c r="D99" t="s">
        <v>69</v>
      </c>
      <c r="E99" s="9">
        <v>21000</v>
      </c>
      <c r="F99" s="9">
        <f t="shared" si="3"/>
        <v>315000</v>
      </c>
    </row>
    <row r="100" spans="1:13" x14ac:dyDescent="0.25">
      <c r="A100" s="8"/>
      <c r="B100" t="s">
        <v>119</v>
      </c>
      <c r="C100">
        <v>3</v>
      </c>
      <c r="D100" t="s">
        <v>69</v>
      </c>
      <c r="E100" s="9">
        <v>23000</v>
      </c>
      <c r="F100" s="9">
        <f t="shared" si="3"/>
        <v>69000</v>
      </c>
    </row>
    <row r="101" spans="1:13" x14ac:dyDescent="0.25">
      <c r="A101" s="8"/>
      <c r="B101" t="s">
        <v>130</v>
      </c>
      <c r="C101">
        <v>10</v>
      </c>
      <c r="D101" t="s">
        <v>72</v>
      </c>
      <c r="E101" s="9">
        <v>21000</v>
      </c>
      <c r="F101" s="9">
        <f t="shared" si="3"/>
        <v>210000</v>
      </c>
    </row>
    <row r="102" spans="1:13" x14ac:dyDescent="0.25">
      <c r="A102" s="8"/>
      <c r="B102" t="s">
        <v>130</v>
      </c>
      <c r="C102">
        <v>5</v>
      </c>
      <c r="D102" t="s">
        <v>71</v>
      </c>
      <c r="E102" s="9">
        <v>20000</v>
      </c>
      <c r="F102" s="9">
        <f t="shared" si="3"/>
        <v>100000</v>
      </c>
    </row>
    <row r="103" spans="1:13" x14ac:dyDescent="0.25">
      <c r="A103" s="8"/>
      <c r="B103" t="s">
        <v>80</v>
      </c>
      <c r="C103">
        <v>15</v>
      </c>
      <c r="D103" t="s">
        <v>69</v>
      </c>
      <c r="E103" s="9">
        <v>23000</v>
      </c>
      <c r="F103" s="9">
        <f t="shared" si="3"/>
        <v>345000</v>
      </c>
    </row>
    <row r="104" spans="1:13" x14ac:dyDescent="0.25">
      <c r="A104" s="8"/>
      <c r="B104" t="s">
        <v>82</v>
      </c>
      <c r="C104">
        <v>56</v>
      </c>
      <c r="D104" t="s">
        <v>72</v>
      </c>
      <c r="E104" s="9">
        <v>20000</v>
      </c>
      <c r="F104" s="9">
        <f t="shared" si="3"/>
        <v>1120000</v>
      </c>
    </row>
    <row r="105" spans="1:13" x14ac:dyDescent="0.25">
      <c r="A105" s="8"/>
      <c r="B105" t="s">
        <v>135</v>
      </c>
      <c r="C105">
        <v>4</v>
      </c>
      <c r="D105" t="s">
        <v>72</v>
      </c>
      <c r="E105" s="9">
        <v>22000</v>
      </c>
      <c r="F105" s="9">
        <f t="shared" si="3"/>
        <v>88000</v>
      </c>
    </row>
    <row r="106" spans="1:13" x14ac:dyDescent="0.25">
      <c r="A106" s="8"/>
      <c r="B106" t="s">
        <v>45</v>
      </c>
      <c r="C106">
        <v>2</v>
      </c>
      <c r="D106" t="s">
        <v>137</v>
      </c>
      <c r="E106" s="9">
        <v>15000</v>
      </c>
      <c r="F106" s="9">
        <f t="shared" si="3"/>
        <v>30000</v>
      </c>
    </row>
    <row r="107" spans="1:13" x14ac:dyDescent="0.25">
      <c r="A107" s="8"/>
      <c r="B107" t="s">
        <v>45</v>
      </c>
      <c r="C107">
        <v>3</v>
      </c>
      <c r="D107" t="s">
        <v>72</v>
      </c>
      <c r="E107" s="9">
        <v>22000</v>
      </c>
      <c r="F107" s="9">
        <f t="shared" si="3"/>
        <v>66000</v>
      </c>
    </row>
    <row r="108" spans="1:13" x14ac:dyDescent="0.25">
      <c r="A108" s="8"/>
      <c r="B108" t="s">
        <v>45</v>
      </c>
      <c r="C108">
        <v>1</v>
      </c>
      <c r="D108" t="s">
        <v>72</v>
      </c>
      <c r="E108" s="9">
        <v>23000</v>
      </c>
      <c r="F108" s="9">
        <f t="shared" si="3"/>
        <v>23000</v>
      </c>
    </row>
    <row r="109" spans="1:13" x14ac:dyDescent="0.25">
      <c r="A109" s="29">
        <v>45323</v>
      </c>
      <c r="B109" s="30" t="s">
        <v>45</v>
      </c>
      <c r="C109" s="30">
        <v>1</v>
      </c>
      <c r="D109" s="30" t="s">
        <v>69</v>
      </c>
      <c r="E109" s="31">
        <v>25000</v>
      </c>
      <c r="F109" s="31">
        <f t="shared" si="3"/>
        <v>25000</v>
      </c>
      <c r="G109" s="31">
        <f>+SUM(F109:F255)/SUM(C109:C255)</f>
        <v>23004.558404558404</v>
      </c>
      <c r="H109" s="36" t="s">
        <v>139</v>
      </c>
      <c r="I109" s="31">
        <v>31</v>
      </c>
      <c r="J109" s="30"/>
    </row>
    <row r="110" spans="1:13" x14ac:dyDescent="0.25">
      <c r="A110" s="8"/>
      <c r="B110" t="s">
        <v>45</v>
      </c>
      <c r="C110">
        <v>1</v>
      </c>
      <c r="D110" t="s">
        <v>72</v>
      </c>
      <c r="E110" s="17">
        <v>24000</v>
      </c>
      <c r="F110" s="17">
        <f t="shared" si="3"/>
        <v>24000</v>
      </c>
    </row>
    <row r="111" spans="1:13" x14ac:dyDescent="0.25">
      <c r="A111" s="8">
        <v>45324</v>
      </c>
      <c r="B111" t="s">
        <v>117</v>
      </c>
      <c r="C111">
        <v>3</v>
      </c>
      <c r="D111" t="s">
        <v>96</v>
      </c>
      <c r="E111" s="9">
        <v>24000</v>
      </c>
      <c r="F111" s="9">
        <f t="shared" si="3"/>
        <v>72000</v>
      </c>
      <c r="H111" s="40" t="s">
        <v>144</v>
      </c>
      <c r="I111" s="40"/>
      <c r="K111" s="40" t="s">
        <v>141</v>
      </c>
      <c r="L111" s="40"/>
    </row>
    <row r="112" spans="1:13" x14ac:dyDescent="0.25">
      <c r="A112" s="8"/>
      <c r="B112" t="s">
        <v>42</v>
      </c>
      <c r="C112">
        <v>29</v>
      </c>
      <c r="D112" t="s">
        <v>69</v>
      </c>
      <c r="E112" s="9">
        <v>23000</v>
      </c>
      <c r="F112" s="9">
        <f t="shared" si="3"/>
        <v>667000</v>
      </c>
      <c r="H112" t="s">
        <v>139</v>
      </c>
      <c r="I112" s="17">
        <f>60/100*9*L112*I109</f>
        <v>1255499.9999999998</v>
      </c>
      <c r="K112" t="s">
        <v>140</v>
      </c>
      <c r="L112" s="9">
        <v>7500</v>
      </c>
      <c r="M112" t="s">
        <v>146</v>
      </c>
    </row>
    <row r="113" spans="1:13" x14ac:dyDescent="0.25">
      <c r="A113" s="8"/>
      <c r="B113" t="s">
        <v>52</v>
      </c>
      <c r="C113">
        <v>60</v>
      </c>
      <c r="D113" t="s">
        <v>72</v>
      </c>
      <c r="E113" s="9">
        <v>20000</v>
      </c>
      <c r="F113" s="9">
        <f t="shared" si="3"/>
        <v>1200000</v>
      </c>
      <c r="H113" t="s">
        <v>48</v>
      </c>
      <c r="I113" s="9">
        <f>+SUM(C109:C255)*L113</f>
        <v>877500</v>
      </c>
      <c r="K113" t="s">
        <v>48</v>
      </c>
      <c r="L113" s="9">
        <v>500</v>
      </c>
      <c r="M113" t="s">
        <v>147</v>
      </c>
    </row>
    <row r="114" spans="1:13" x14ac:dyDescent="0.25">
      <c r="A114" s="8">
        <v>45324</v>
      </c>
      <c r="B114" t="s">
        <v>39</v>
      </c>
      <c r="C114">
        <v>30</v>
      </c>
      <c r="D114" t="s">
        <v>72</v>
      </c>
      <c r="E114" s="9">
        <v>20000</v>
      </c>
      <c r="F114" s="9">
        <f t="shared" si="3"/>
        <v>600000</v>
      </c>
      <c r="H114" t="s">
        <v>142</v>
      </c>
      <c r="I114" s="9">
        <f>+L114*29*(L116+L117)</f>
        <v>24664500</v>
      </c>
      <c r="K114" t="s">
        <v>142</v>
      </c>
      <c r="L114" s="9">
        <v>63000</v>
      </c>
      <c r="M114" t="s">
        <v>148</v>
      </c>
    </row>
    <row r="115" spans="1:13" x14ac:dyDescent="0.25">
      <c r="A115" s="8"/>
      <c r="B115" t="s">
        <v>39</v>
      </c>
      <c r="C115">
        <v>20</v>
      </c>
      <c r="D115" t="s">
        <v>71</v>
      </c>
      <c r="E115" s="9">
        <v>18000</v>
      </c>
      <c r="F115" s="9">
        <f t="shared" si="3"/>
        <v>360000</v>
      </c>
      <c r="H115" t="s">
        <v>145</v>
      </c>
      <c r="I115" s="9">
        <f>+L115*29</f>
        <v>2941428.5714285718</v>
      </c>
      <c r="K115" t="s">
        <v>143</v>
      </c>
      <c r="L115" s="9">
        <f>500000/7+30000</f>
        <v>101428.57142857143</v>
      </c>
      <c r="M115" t="s">
        <v>149</v>
      </c>
    </row>
    <row r="116" spans="1:13" x14ac:dyDescent="0.25">
      <c r="A116" s="8"/>
      <c r="B116" t="s">
        <v>39</v>
      </c>
      <c r="C116">
        <v>3</v>
      </c>
      <c r="D116" t="s">
        <v>70</v>
      </c>
      <c r="E116" s="9">
        <v>15000</v>
      </c>
      <c r="F116" s="9">
        <f t="shared" si="3"/>
        <v>45000</v>
      </c>
      <c r="H116" t="s">
        <v>150</v>
      </c>
      <c r="I116" s="9">
        <v>15000</v>
      </c>
      <c r="J116" s="27"/>
      <c r="K116" t="s">
        <v>198</v>
      </c>
      <c r="L116" s="39">
        <v>9</v>
      </c>
    </row>
    <row r="117" spans="1:13" x14ac:dyDescent="0.25">
      <c r="A117" s="8">
        <v>45325</v>
      </c>
      <c r="B117" t="s">
        <v>89</v>
      </c>
      <c r="C117">
        <v>10</v>
      </c>
      <c r="D117" t="s">
        <v>72</v>
      </c>
      <c r="E117" s="9">
        <v>23000</v>
      </c>
      <c r="F117" s="9">
        <f t="shared" si="3"/>
        <v>230000</v>
      </c>
      <c r="H117" t="s">
        <v>151</v>
      </c>
      <c r="I117" s="9">
        <v>150000</v>
      </c>
      <c r="K117" t="s">
        <v>199</v>
      </c>
      <c r="L117" s="39">
        <v>4.5</v>
      </c>
    </row>
    <row r="118" spans="1:13" x14ac:dyDescent="0.25">
      <c r="A118" s="8"/>
      <c r="B118" t="s">
        <v>100</v>
      </c>
      <c r="C118">
        <v>5</v>
      </c>
      <c r="D118" t="s">
        <v>96</v>
      </c>
      <c r="E118" s="9">
        <v>25000</v>
      </c>
      <c r="F118" s="9">
        <f t="shared" si="3"/>
        <v>125000</v>
      </c>
      <c r="H118" t="s">
        <v>152</v>
      </c>
      <c r="I118" s="9">
        <f>+SUM(I112:I117)</f>
        <v>29903928.571428571</v>
      </c>
    </row>
    <row r="119" spans="1:13" x14ac:dyDescent="0.25">
      <c r="A119" s="8"/>
      <c r="B119" t="s">
        <v>87</v>
      </c>
      <c r="C119">
        <v>6</v>
      </c>
      <c r="D119" t="s">
        <v>72</v>
      </c>
      <c r="E119" s="9">
        <v>23000</v>
      </c>
      <c r="F119" s="9">
        <f t="shared" si="3"/>
        <v>138000</v>
      </c>
    </row>
    <row r="120" spans="1:13" x14ac:dyDescent="0.25">
      <c r="A120" s="8"/>
      <c r="B120" t="s">
        <v>135</v>
      </c>
      <c r="C120">
        <v>5</v>
      </c>
      <c r="D120" t="s">
        <v>72</v>
      </c>
      <c r="E120" s="9">
        <v>22000</v>
      </c>
      <c r="F120" s="9">
        <f t="shared" si="3"/>
        <v>110000</v>
      </c>
      <c r="H120" t="s">
        <v>153</v>
      </c>
      <c r="I120" s="9">
        <f>+SUM(F109:F255)</f>
        <v>40373000</v>
      </c>
    </row>
    <row r="121" spans="1:13" ht="15.75" thickBot="1" x14ac:dyDescent="0.3">
      <c r="A121" s="8">
        <v>45327</v>
      </c>
      <c r="B121" t="s">
        <v>119</v>
      </c>
      <c r="C121">
        <v>3</v>
      </c>
      <c r="D121" t="s">
        <v>69</v>
      </c>
      <c r="E121" s="9">
        <v>25000</v>
      </c>
      <c r="F121" s="9">
        <f t="shared" si="3"/>
        <v>75000</v>
      </c>
    </row>
    <row r="122" spans="1:13" ht="15.75" thickBot="1" x14ac:dyDescent="0.3">
      <c r="A122" s="8"/>
      <c r="B122" t="s">
        <v>82</v>
      </c>
      <c r="C122">
        <v>68</v>
      </c>
      <c r="D122" t="s">
        <v>72</v>
      </c>
      <c r="E122" s="9">
        <v>22000</v>
      </c>
      <c r="F122" s="9">
        <f t="shared" si="3"/>
        <v>1496000</v>
      </c>
      <c r="H122" s="34" t="s">
        <v>154</v>
      </c>
      <c r="I122" s="35">
        <f>+I120-I118</f>
        <v>10469071.428571429</v>
      </c>
    </row>
    <row r="123" spans="1:13" x14ac:dyDescent="0.25">
      <c r="A123" s="8"/>
      <c r="B123" t="s">
        <v>116</v>
      </c>
      <c r="C123">
        <v>5</v>
      </c>
      <c r="D123" t="s">
        <v>69</v>
      </c>
      <c r="E123" s="9">
        <v>23000</v>
      </c>
      <c r="F123" s="9">
        <f t="shared" si="3"/>
        <v>115000</v>
      </c>
    </row>
    <row r="124" spans="1:13" x14ac:dyDescent="0.25">
      <c r="A124" s="8"/>
      <c r="B124" t="s">
        <v>118</v>
      </c>
      <c r="C124">
        <v>2</v>
      </c>
      <c r="D124" t="s">
        <v>69</v>
      </c>
      <c r="E124" s="9">
        <v>25000</v>
      </c>
      <c r="F124" s="9">
        <f t="shared" si="3"/>
        <v>50000</v>
      </c>
    </row>
    <row r="125" spans="1:13" x14ac:dyDescent="0.25">
      <c r="A125" s="8"/>
      <c r="B125" t="s">
        <v>42</v>
      </c>
      <c r="C125">
        <v>20</v>
      </c>
      <c r="D125" t="s">
        <v>69</v>
      </c>
      <c r="E125" s="9">
        <v>23000</v>
      </c>
      <c r="F125" s="9">
        <f t="shared" si="3"/>
        <v>460000</v>
      </c>
    </row>
    <row r="126" spans="1:13" x14ac:dyDescent="0.25">
      <c r="A126" s="8">
        <v>45328</v>
      </c>
      <c r="B126" t="s">
        <v>85</v>
      </c>
      <c r="C126">
        <v>10</v>
      </c>
      <c r="D126" t="s">
        <v>69</v>
      </c>
      <c r="E126" s="9">
        <v>23000</v>
      </c>
      <c r="F126" s="9">
        <f t="shared" si="3"/>
        <v>230000</v>
      </c>
    </row>
    <row r="127" spans="1:13" x14ac:dyDescent="0.25">
      <c r="A127" s="8"/>
      <c r="B127" t="s">
        <v>113</v>
      </c>
      <c r="C127">
        <v>4</v>
      </c>
      <c r="D127" t="s">
        <v>72</v>
      </c>
      <c r="E127" s="9">
        <v>23000</v>
      </c>
      <c r="F127" s="9">
        <f t="shared" si="3"/>
        <v>92000</v>
      </c>
    </row>
    <row r="128" spans="1:13" x14ac:dyDescent="0.25">
      <c r="A128" s="8"/>
      <c r="B128" t="s">
        <v>98</v>
      </c>
      <c r="C128">
        <v>11</v>
      </c>
      <c r="D128" t="s">
        <v>71</v>
      </c>
      <c r="E128" s="9">
        <v>22000</v>
      </c>
      <c r="F128" s="9">
        <f t="shared" si="3"/>
        <v>242000</v>
      </c>
    </row>
    <row r="129" spans="1:6" x14ac:dyDescent="0.25">
      <c r="A129" s="8"/>
      <c r="B129" t="s">
        <v>52</v>
      </c>
      <c r="C129">
        <v>54</v>
      </c>
      <c r="D129" t="s">
        <v>72</v>
      </c>
      <c r="E129" s="9">
        <v>22000</v>
      </c>
      <c r="F129" s="9">
        <f t="shared" si="3"/>
        <v>1188000</v>
      </c>
    </row>
    <row r="130" spans="1:6" x14ac:dyDescent="0.25">
      <c r="A130" s="8"/>
      <c r="B130" t="s">
        <v>52</v>
      </c>
      <c r="C130">
        <v>9</v>
      </c>
      <c r="D130" t="s">
        <v>69</v>
      </c>
      <c r="E130" s="9">
        <v>23000</v>
      </c>
      <c r="F130" s="9">
        <f t="shared" si="3"/>
        <v>207000</v>
      </c>
    </row>
    <row r="131" spans="1:6" x14ac:dyDescent="0.25">
      <c r="A131" s="8">
        <v>45329</v>
      </c>
      <c r="B131" t="s">
        <v>135</v>
      </c>
      <c r="C131">
        <v>2</v>
      </c>
      <c r="D131" t="s">
        <v>72</v>
      </c>
      <c r="E131" s="9">
        <v>23000</v>
      </c>
      <c r="F131" s="9">
        <f t="shared" si="3"/>
        <v>46000</v>
      </c>
    </row>
    <row r="132" spans="1:6" x14ac:dyDescent="0.25">
      <c r="A132" s="8"/>
      <c r="B132" t="s">
        <v>45</v>
      </c>
      <c r="C132">
        <v>1</v>
      </c>
      <c r="D132" t="s">
        <v>174</v>
      </c>
      <c r="E132" s="9">
        <v>15000</v>
      </c>
      <c r="F132" s="9">
        <f t="shared" si="3"/>
        <v>15000</v>
      </c>
    </row>
    <row r="133" spans="1:6" x14ac:dyDescent="0.25">
      <c r="A133" s="8">
        <v>45330</v>
      </c>
      <c r="B133" t="s">
        <v>101</v>
      </c>
      <c r="C133">
        <v>15</v>
      </c>
      <c r="D133" t="s">
        <v>69</v>
      </c>
      <c r="E133" s="9">
        <v>23000</v>
      </c>
      <c r="F133" s="9">
        <f t="shared" si="3"/>
        <v>345000</v>
      </c>
    </row>
    <row r="134" spans="1:6" x14ac:dyDescent="0.25">
      <c r="A134" s="8"/>
      <c r="B134" t="s">
        <v>117</v>
      </c>
      <c r="C134">
        <v>3</v>
      </c>
      <c r="D134" t="s">
        <v>69</v>
      </c>
      <c r="E134" s="9">
        <v>24000</v>
      </c>
      <c r="F134" s="9">
        <f t="shared" si="3"/>
        <v>72000</v>
      </c>
    </row>
    <row r="135" spans="1:6" x14ac:dyDescent="0.25">
      <c r="A135" s="8"/>
      <c r="B135" t="s">
        <v>80</v>
      </c>
      <c r="C135">
        <v>15</v>
      </c>
      <c r="D135" t="s">
        <v>72</v>
      </c>
      <c r="E135" s="9">
        <v>23000</v>
      </c>
      <c r="F135" s="9">
        <f t="shared" si="3"/>
        <v>345000</v>
      </c>
    </row>
    <row r="136" spans="1:6" x14ac:dyDescent="0.25">
      <c r="A136" s="8"/>
      <c r="B136" t="s">
        <v>130</v>
      </c>
      <c r="C136">
        <v>15</v>
      </c>
      <c r="D136" t="s">
        <v>72</v>
      </c>
      <c r="E136" s="9">
        <v>23000</v>
      </c>
      <c r="F136" s="9">
        <f t="shared" si="3"/>
        <v>345000</v>
      </c>
    </row>
    <row r="137" spans="1:6" x14ac:dyDescent="0.25">
      <c r="A137" s="8"/>
      <c r="B137" t="s">
        <v>119</v>
      </c>
      <c r="C137">
        <v>3</v>
      </c>
      <c r="D137" t="s">
        <v>69</v>
      </c>
      <c r="E137" s="9">
        <v>25000</v>
      </c>
      <c r="F137" s="9">
        <f t="shared" si="3"/>
        <v>75000</v>
      </c>
    </row>
    <row r="138" spans="1:6" x14ac:dyDescent="0.25">
      <c r="A138" s="8"/>
      <c r="B138" t="s">
        <v>52</v>
      </c>
      <c r="C138">
        <v>37</v>
      </c>
      <c r="D138" t="s">
        <v>72</v>
      </c>
      <c r="E138" s="9">
        <v>22000</v>
      </c>
      <c r="F138" s="9">
        <f t="shared" si="3"/>
        <v>814000</v>
      </c>
    </row>
    <row r="139" spans="1:6" x14ac:dyDescent="0.25">
      <c r="A139" s="8"/>
      <c r="B139" t="s">
        <v>52</v>
      </c>
      <c r="C139">
        <v>8</v>
      </c>
      <c r="D139" t="s">
        <v>69</v>
      </c>
      <c r="E139" s="9">
        <v>23000</v>
      </c>
      <c r="F139" s="9">
        <f t="shared" si="3"/>
        <v>184000</v>
      </c>
    </row>
    <row r="140" spans="1:6" x14ac:dyDescent="0.25">
      <c r="A140" s="8">
        <v>45331</v>
      </c>
      <c r="B140" t="s">
        <v>45</v>
      </c>
      <c r="C140">
        <v>1</v>
      </c>
      <c r="D140" t="s">
        <v>72</v>
      </c>
      <c r="E140" s="9">
        <v>22000</v>
      </c>
      <c r="F140" s="9">
        <f t="shared" si="3"/>
        <v>22000</v>
      </c>
    </row>
    <row r="141" spans="1:6" x14ac:dyDescent="0.25">
      <c r="A141" s="8"/>
      <c r="B141" t="s">
        <v>45</v>
      </c>
      <c r="C141">
        <v>1</v>
      </c>
      <c r="D141" t="s">
        <v>69</v>
      </c>
      <c r="E141" s="9">
        <v>25000</v>
      </c>
      <c r="F141" s="9">
        <f t="shared" si="3"/>
        <v>25000</v>
      </c>
    </row>
    <row r="142" spans="1:6" x14ac:dyDescent="0.25">
      <c r="A142" s="8"/>
      <c r="B142" t="s">
        <v>39</v>
      </c>
      <c r="C142">
        <v>20</v>
      </c>
      <c r="D142" t="s">
        <v>72</v>
      </c>
      <c r="E142" s="9">
        <v>22000</v>
      </c>
      <c r="F142" s="9">
        <f t="shared" si="3"/>
        <v>440000</v>
      </c>
    </row>
    <row r="143" spans="1:6" x14ac:dyDescent="0.25">
      <c r="A143" s="8"/>
      <c r="B143" t="s">
        <v>39</v>
      </c>
      <c r="C143">
        <v>10</v>
      </c>
      <c r="D143" t="s">
        <v>71</v>
      </c>
      <c r="E143" s="9">
        <v>20000</v>
      </c>
      <c r="F143" s="9">
        <f t="shared" si="3"/>
        <v>200000</v>
      </c>
    </row>
    <row r="144" spans="1:6" x14ac:dyDescent="0.25">
      <c r="A144" s="8"/>
      <c r="B144" t="s">
        <v>39</v>
      </c>
      <c r="C144">
        <v>13</v>
      </c>
      <c r="D144" t="s">
        <v>70</v>
      </c>
      <c r="E144" s="9">
        <v>15000</v>
      </c>
      <c r="F144" s="9">
        <f t="shared" si="3"/>
        <v>195000</v>
      </c>
    </row>
    <row r="145" spans="1:6" x14ac:dyDescent="0.25">
      <c r="A145" s="8">
        <v>45332</v>
      </c>
      <c r="B145" t="s">
        <v>45</v>
      </c>
      <c r="C145">
        <v>1</v>
      </c>
      <c r="D145" t="s">
        <v>174</v>
      </c>
      <c r="E145" s="9">
        <v>15000</v>
      </c>
      <c r="F145" s="9">
        <f t="shared" si="3"/>
        <v>15000</v>
      </c>
    </row>
    <row r="146" spans="1:6" x14ac:dyDescent="0.25">
      <c r="A146" s="8"/>
      <c r="B146" t="s">
        <v>42</v>
      </c>
      <c r="C146">
        <v>20</v>
      </c>
      <c r="D146" t="s">
        <v>69</v>
      </c>
      <c r="E146" s="9">
        <v>23000</v>
      </c>
      <c r="F146" s="9">
        <f t="shared" si="3"/>
        <v>460000</v>
      </c>
    </row>
    <row r="147" spans="1:6" x14ac:dyDescent="0.25">
      <c r="A147" s="8">
        <v>45333</v>
      </c>
      <c r="B147" t="s">
        <v>89</v>
      </c>
      <c r="C147">
        <v>10</v>
      </c>
      <c r="D147" t="s">
        <v>72</v>
      </c>
      <c r="E147" s="9">
        <v>23000</v>
      </c>
      <c r="F147" s="9">
        <f t="shared" si="3"/>
        <v>230000</v>
      </c>
    </row>
    <row r="148" spans="1:6" x14ac:dyDescent="0.25">
      <c r="A148" s="8"/>
      <c r="B148" t="s">
        <v>87</v>
      </c>
      <c r="C148">
        <v>2</v>
      </c>
      <c r="D148" t="s">
        <v>72</v>
      </c>
      <c r="E148" s="9">
        <v>24000</v>
      </c>
      <c r="F148" s="9">
        <f t="shared" si="3"/>
        <v>48000</v>
      </c>
    </row>
    <row r="149" spans="1:6" x14ac:dyDescent="0.25">
      <c r="A149" s="8"/>
      <c r="B149" t="s">
        <v>45</v>
      </c>
      <c r="C149">
        <v>1</v>
      </c>
      <c r="D149" t="s">
        <v>174</v>
      </c>
      <c r="E149" s="9">
        <v>15000</v>
      </c>
      <c r="F149" s="9">
        <f t="shared" si="3"/>
        <v>15000</v>
      </c>
    </row>
    <row r="150" spans="1:6" x14ac:dyDescent="0.25">
      <c r="A150" s="8"/>
      <c r="B150" t="s">
        <v>39</v>
      </c>
      <c r="C150">
        <v>22</v>
      </c>
      <c r="D150" t="s">
        <v>72</v>
      </c>
      <c r="E150" s="9">
        <v>22000</v>
      </c>
      <c r="F150" s="9">
        <f t="shared" si="3"/>
        <v>484000</v>
      </c>
    </row>
    <row r="151" spans="1:6" x14ac:dyDescent="0.25">
      <c r="A151" s="8"/>
      <c r="B151" t="s">
        <v>39</v>
      </c>
      <c r="C151">
        <v>16</v>
      </c>
      <c r="D151" t="s">
        <v>71</v>
      </c>
      <c r="E151" s="9">
        <v>20000</v>
      </c>
      <c r="F151" s="9">
        <f t="shared" si="3"/>
        <v>320000</v>
      </c>
    </row>
    <row r="152" spans="1:6" x14ac:dyDescent="0.25">
      <c r="A152" s="8"/>
      <c r="B152" t="s">
        <v>39</v>
      </c>
      <c r="C152">
        <v>10</v>
      </c>
      <c r="D152" t="s">
        <v>70</v>
      </c>
      <c r="E152" s="9">
        <v>15000</v>
      </c>
      <c r="F152" s="9">
        <f t="shared" si="3"/>
        <v>150000</v>
      </c>
    </row>
    <row r="153" spans="1:6" x14ac:dyDescent="0.25">
      <c r="A153" s="8">
        <v>45334</v>
      </c>
      <c r="B153" t="s">
        <v>117</v>
      </c>
      <c r="C153">
        <v>4</v>
      </c>
      <c r="D153" t="s">
        <v>69</v>
      </c>
      <c r="E153" s="9">
        <v>24000</v>
      </c>
      <c r="F153" s="9">
        <f t="shared" si="3"/>
        <v>96000</v>
      </c>
    </row>
    <row r="154" spans="1:6" x14ac:dyDescent="0.25">
      <c r="A154" s="8"/>
      <c r="B154" t="s">
        <v>82</v>
      </c>
      <c r="C154">
        <v>50</v>
      </c>
      <c r="D154" t="s">
        <v>72</v>
      </c>
      <c r="E154" s="9">
        <v>22000</v>
      </c>
      <c r="F154" s="9">
        <f t="shared" si="3"/>
        <v>1100000</v>
      </c>
    </row>
    <row r="155" spans="1:6" x14ac:dyDescent="0.25">
      <c r="A155" s="8"/>
      <c r="B155" t="s">
        <v>42</v>
      </c>
      <c r="C155">
        <v>10</v>
      </c>
      <c r="D155" t="s">
        <v>69</v>
      </c>
      <c r="E155" s="9">
        <v>23000</v>
      </c>
      <c r="F155" s="9">
        <f t="shared" si="3"/>
        <v>230000</v>
      </c>
    </row>
    <row r="156" spans="1:6" x14ac:dyDescent="0.25">
      <c r="A156" s="8"/>
      <c r="B156" t="s">
        <v>119</v>
      </c>
      <c r="C156">
        <v>5</v>
      </c>
      <c r="D156" t="s">
        <v>69</v>
      </c>
      <c r="E156" s="9">
        <v>25000</v>
      </c>
      <c r="F156" s="9">
        <f t="shared" si="3"/>
        <v>125000</v>
      </c>
    </row>
    <row r="157" spans="1:6" x14ac:dyDescent="0.25">
      <c r="A157" s="8"/>
      <c r="B157" t="s">
        <v>45</v>
      </c>
      <c r="C157">
        <v>5</v>
      </c>
      <c r="D157" t="s">
        <v>72</v>
      </c>
      <c r="E157" s="9">
        <v>24000</v>
      </c>
      <c r="F157" s="9">
        <f t="shared" si="3"/>
        <v>120000</v>
      </c>
    </row>
    <row r="158" spans="1:6" x14ac:dyDescent="0.25">
      <c r="A158" s="8"/>
      <c r="B158" t="s">
        <v>45</v>
      </c>
      <c r="C158">
        <v>1</v>
      </c>
      <c r="E158" s="9">
        <v>15000</v>
      </c>
      <c r="F158" s="9">
        <f t="shared" si="3"/>
        <v>15000</v>
      </c>
    </row>
    <row r="159" spans="1:6" x14ac:dyDescent="0.25">
      <c r="A159" s="8"/>
      <c r="B159" t="s">
        <v>175</v>
      </c>
      <c r="C159">
        <v>2</v>
      </c>
      <c r="D159" t="s">
        <v>71</v>
      </c>
      <c r="E159" s="9">
        <v>23000</v>
      </c>
      <c r="F159" s="9">
        <f t="shared" si="3"/>
        <v>46000</v>
      </c>
    </row>
    <row r="160" spans="1:6" x14ac:dyDescent="0.25">
      <c r="A160" s="8"/>
      <c r="B160" t="s">
        <v>45</v>
      </c>
      <c r="C160">
        <v>2</v>
      </c>
      <c r="D160" t="s">
        <v>72</v>
      </c>
      <c r="E160" s="9">
        <v>24000</v>
      </c>
      <c r="F160" s="9">
        <f t="shared" si="3"/>
        <v>48000</v>
      </c>
    </row>
    <row r="161" spans="1:6" x14ac:dyDescent="0.25">
      <c r="A161" s="8"/>
      <c r="B161" t="s">
        <v>45</v>
      </c>
      <c r="C161">
        <v>1</v>
      </c>
      <c r="D161" t="s">
        <v>96</v>
      </c>
      <c r="E161" s="9">
        <v>25000</v>
      </c>
      <c r="F161" s="9">
        <f t="shared" si="3"/>
        <v>25000</v>
      </c>
    </row>
    <row r="162" spans="1:6" x14ac:dyDescent="0.25">
      <c r="A162" s="8"/>
      <c r="B162" t="s">
        <v>176</v>
      </c>
      <c r="C162">
        <v>4</v>
      </c>
      <c r="D162" t="s">
        <v>71</v>
      </c>
      <c r="E162" s="9">
        <v>23000</v>
      </c>
      <c r="F162" s="9">
        <f t="shared" si="3"/>
        <v>92000</v>
      </c>
    </row>
    <row r="163" spans="1:6" x14ac:dyDescent="0.25">
      <c r="A163" s="8">
        <v>45335</v>
      </c>
      <c r="B163" t="s">
        <v>52</v>
      </c>
      <c r="C163">
        <v>54</v>
      </c>
      <c r="D163" t="s">
        <v>72</v>
      </c>
      <c r="E163" s="9">
        <v>22000</v>
      </c>
      <c r="F163" s="9">
        <f t="shared" si="3"/>
        <v>1188000</v>
      </c>
    </row>
    <row r="164" spans="1:6" x14ac:dyDescent="0.25">
      <c r="A164" s="8"/>
      <c r="B164" t="s">
        <v>100</v>
      </c>
      <c r="C164">
        <v>5</v>
      </c>
      <c r="D164" t="s">
        <v>69</v>
      </c>
      <c r="E164" s="9">
        <v>25000</v>
      </c>
      <c r="F164" s="9">
        <f t="shared" si="3"/>
        <v>125000</v>
      </c>
    </row>
    <row r="165" spans="1:6" x14ac:dyDescent="0.25">
      <c r="A165" s="8"/>
      <c r="B165" t="s">
        <v>102</v>
      </c>
      <c r="C165">
        <v>5</v>
      </c>
      <c r="D165" t="s">
        <v>69</v>
      </c>
      <c r="E165" s="9">
        <v>25000</v>
      </c>
      <c r="F165" s="9">
        <f t="shared" si="3"/>
        <v>125000</v>
      </c>
    </row>
    <row r="166" spans="1:6" x14ac:dyDescent="0.25">
      <c r="A166" s="8"/>
      <c r="B166" t="s">
        <v>45</v>
      </c>
      <c r="C166">
        <v>1</v>
      </c>
      <c r="D166" t="s">
        <v>174</v>
      </c>
      <c r="E166" s="9">
        <v>15000</v>
      </c>
      <c r="F166" s="9">
        <f t="shared" si="3"/>
        <v>15000</v>
      </c>
    </row>
    <row r="167" spans="1:6" x14ac:dyDescent="0.25">
      <c r="A167" s="8">
        <v>45335</v>
      </c>
      <c r="B167" t="s">
        <v>39</v>
      </c>
      <c r="C167">
        <v>11</v>
      </c>
      <c r="D167" t="s">
        <v>70</v>
      </c>
      <c r="E167" s="9">
        <v>15000</v>
      </c>
      <c r="F167" s="9">
        <f t="shared" si="3"/>
        <v>165000</v>
      </c>
    </row>
    <row r="168" spans="1:6" x14ac:dyDescent="0.25">
      <c r="A168" s="8">
        <v>45336</v>
      </c>
      <c r="B168" t="s">
        <v>45</v>
      </c>
      <c r="C168">
        <v>1</v>
      </c>
      <c r="D168" t="s">
        <v>69</v>
      </c>
      <c r="E168" s="9">
        <v>25000</v>
      </c>
      <c r="F168" s="9">
        <f t="shared" si="3"/>
        <v>25000</v>
      </c>
    </row>
    <row r="169" spans="1:6" x14ac:dyDescent="0.25">
      <c r="A169" s="8"/>
      <c r="B169" t="s">
        <v>45</v>
      </c>
      <c r="C169">
        <v>1</v>
      </c>
      <c r="D169" t="s">
        <v>71</v>
      </c>
      <c r="E169" s="9">
        <v>23000</v>
      </c>
      <c r="F169" s="9">
        <f t="shared" si="3"/>
        <v>23000</v>
      </c>
    </row>
    <row r="170" spans="1:6" x14ac:dyDescent="0.25">
      <c r="A170" s="8">
        <v>45337</v>
      </c>
      <c r="B170" t="s">
        <v>79</v>
      </c>
      <c r="C170">
        <v>4</v>
      </c>
      <c r="D170" t="s">
        <v>69</v>
      </c>
      <c r="E170" s="9">
        <v>25000</v>
      </c>
      <c r="F170" s="9">
        <f t="shared" si="3"/>
        <v>100000</v>
      </c>
    </row>
    <row r="171" spans="1:6" x14ac:dyDescent="0.25">
      <c r="A171" s="8"/>
      <c r="B171" t="s">
        <v>117</v>
      </c>
      <c r="C171">
        <v>3</v>
      </c>
      <c r="D171" t="s">
        <v>72</v>
      </c>
      <c r="E171" s="9">
        <v>24000</v>
      </c>
      <c r="F171" s="9">
        <f t="shared" si="3"/>
        <v>72000</v>
      </c>
    </row>
    <row r="172" spans="1:6" x14ac:dyDescent="0.25">
      <c r="A172" s="8"/>
      <c r="B172" t="s">
        <v>116</v>
      </c>
      <c r="C172">
        <v>5</v>
      </c>
      <c r="D172" t="s">
        <v>72</v>
      </c>
      <c r="E172" s="9">
        <v>23000</v>
      </c>
      <c r="F172" s="9">
        <f t="shared" si="3"/>
        <v>115000</v>
      </c>
    </row>
    <row r="173" spans="1:6" x14ac:dyDescent="0.25">
      <c r="A173" s="8"/>
      <c r="B173" t="s">
        <v>42</v>
      </c>
      <c r="C173">
        <v>25</v>
      </c>
      <c r="D173" t="s">
        <v>72</v>
      </c>
      <c r="E173" s="9">
        <v>23000</v>
      </c>
      <c r="F173" s="9">
        <f t="shared" si="3"/>
        <v>575000</v>
      </c>
    </row>
    <row r="174" spans="1:6" x14ac:dyDescent="0.25">
      <c r="A174" s="8"/>
      <c r="B174" t="s">
        <v>101</v>
      </c>
      <c r="C174">
        <v>11</v>
      </c>
      <c r="D174" t="s">
        <v>72</v>
      </c>
      <c r="E174" s="9">
        <v>22000</v>
      </c>
      <c r="F174" s="9">
        <f t="shared" si="3"/>
        <v>242000</v>
      </c>
    </row>
    <row r="175" spans="1:6" x14ac:dyDescent="0.25">
      <c r="A175" s="8"/>
      <c r="B175" t="s">
        <v>101</v>
      </c>
      <c r="C175">
        <v>11</v>
      </c>
      <c r="D175" t="s">
        <v>69</v>
      </c>
      <c r="E175" s="9">
        <v>23000</v>
      </c>
      <c r="F175" s="9">
        <f t="shared" si="3"/>
        <v>253000</v>
      </c>
    </row>
    <row r="176" spans="1:6" x14ac:dyDescent="0.25">
      <c r="A176" s="8">
        <v>45339</v>
      </c>
      <c r="B176" t="s">
        <v>85</v>
      </c>
      <c r="C176">
        <v>10</v>
      </c>
      <c r="D176" t="s">
        <v>69</v>
      </c>
      <c r="E176" s="9">
        <v>25000</v>
      </c>
      <c r="F176" s="9">
        <f t="shared" si="3"/>
        <v>250000</v>
      </c>
    </row>
    <row r="177" spans="1:6" x14ac:dyDescent="0.25">
      <c r="A177" s="8"/>
      <c r="B177" t="s">
        <v>119</v>
      </c>
      <c r="C177">
        <v>7</v>
      </c>
      <c r="D177" t="s">
        <v>69</v>
      </c>
      <c r="E177" s="9">
        <v>25000</v>
      </c>
      <c r="F177" s="9">
        <f t="shared" si="3"/>
        <v>175000</v>
      </c>
    </row>
    <row r="178" spans="1:6" x14ac:dyDescent="0.25">
      <c r="A178" s="8"/>
      <c r="B178" t="s">
        <v>130</v>
      </c>
      <c r="C178">
        <v>10</v>
      </c>
      <c r="D178" t="s">
        <v>72</v>
      </c>
      <c r="E178" s="9">
        <v>25000</v>
      </c>
      <c r="F178" s="9">
        <f t="shared" si="3"/>
        <v>250000</v>
      </c>
    </row>
    <row r="179" spans="1:6" x14ac:dyDescent="0.25">
      <c r="A179" s="8"/>
      <c r="B179" t="s">
        <v>124</v>
      </c>
      <c r="C179">
        <v>10</v>
      </c>
      <c r="D179" t="s">
        <v>71</v>
      </c>
      <c r="E179" s="9">
        <v>23000</v>
      </c>
      <c r="F179" s="9">
        <f t="shared" si="3"/>
        <v>230000</v>
      </c>
    </row>
    <row r="180" spans="1:6" x14ac:dyDescent="0.25">
      <c r="A180" s="8"/>
      <c r="B180" t="s">
        <v>82</v>
      </c>
      <c r="C180">
        <v>57</v>
      </c>
      <c r="D180" t="s">
        <v>72</v>
      </c>
      <c r="E180" s="9">
        <v>24000</v>
      </c>
      <c r="F180" s="9">
        <f t="shared" si="3"/>
        <v>1368000</v>
      </c>
    </row>
    <row r="181" spans="1:6" x14ac:dyDescent="0.25">
      <c r="A181" s="8"/>
      <c r="B181" t="s">
        <v>177</v>
      </c>
      <c r="C181">
        <v>5</v>
      </c>
      <c r="D181" t="s">
        <v>69</v>
      </c>
      <c r="E181" s="9">
        <v>25000</v>
      </c>
      <c r="F181" s="9">
        <f t="shared" si="3"/>
        <v>125000</v>
      </c>
    </row>
    <row r="182" spans="1:6" x14ac:dyDescent="0.25">
      <c r="A182" s="8"/>
      <c r="B182" t="s">
        <v>100</v>
      </c>
      <c r="C182">
        <v>2</v>
      </c>
      <c r="D182" t="s">
        <v>96</v>
      </c>
      <c r="E182" s="9">
        <v>25000</v>
      </c>
      <c r="F182" s="9">
        <f t="shared" si="3"/>
        <v>50000</v>
      </c>
    </row>
    <row r="183" spans="1:6" x14ac:dyDescent="0.25">
      <c r="A183" s="8">
        <v>45339</v>
      </c>
      <c r="B183" t="s">
        <v>39</v>
      </c>
      <c r="C183">
        <v>15</v>
      </c>
      <c r="D183" t="s">
        <v>72</v>
      </c>
      <c r="E183" s="9">
        <v>23000</v>
      </c>
      <c r="F183" s="9">
        <f t="shared" si="3"/>
        <v>345000</v>
      </c>
    </row>
    <row r="184" spans="1:6" x14ac:dyDescent="0.25">
      <c r="A184" s="8"/>
      <c r="B184" t="s">
        <v>39</v>
      </c>
      <c r="C184">
        <v>28</v>
      </c>
      <c r="D184" t="s">
        <v>71</v>
      </c>
      <c r="E184" s="9">
        <v>22000</v>
      </c>
      <c r="F184" s="9">
        <f t="shared" si="3"/>
        <v>616000</v>
      </c>
    </row>
    <row r="185" spans="1:6" x14ac:dyDescent="0.25">
      <c r="A185" s="8"/>
      <c r="B185" t="s">
        <v>39</v>
      </c>
      <c r="C185">
        <v>17</v>
      </c>
      <c r="D185" t="s">
        <v>70</v>
      </c>
      <c r="E185" s="9">
        <v>15000</v>
      </c>
      <c r="F185" s="9">
        <f t="shared" si="3"/>
        <v>255000</v>
      </c>
    </row>
    <row r="186" spans="1:6" x14ac:dyDescent="0.25">
      <c r="A186" s="8"/>
      <c r="B186" t="s">
        <v>87</v>
      </c>
      <c r="C186">
        <v>6</v>
      </c>
      <c r="D186" t="s">
        <v>72</v>
      </c>
      <c r="E186" s="9">
        <v>24000</v>
      </c>
      <c r="F186" s="9">
        <f t="shared" si="3"/>
        <v>144000</v>
      </c>
    </row>
    <row r="187" spans="1:6" x14ac:dyDescent="0.25">
      <c r="A187" s="8"/>
      <c r="B187" t="s">
        <v>45</v>
      </c>
      <c r="C187">
        <v>3</v>
      </c>
      <c r="D187" t="s">
        <v>72</v>
      </c>
      <c r="E187" s="9">
        <v>25000</v>
      </c>
      <c r="F187" s="9">
        <f t="shared" si="3"/>
        <v>75000</v>
      </c>
    </row>
    <row r="188" spans="1:6" x14ac:dyDescent="0.25">
      <c r="A188" s="8">
        <v>45340</v>
      </c>
      <c r="B188" t="s">
        <v>45</v>
      </c>
      <c r="C188">
        <v>7</v>
      </c>
      <c r="D188" t="s">
        <v>69</v>
      </c>
      <c r="E188" s="9">
        <v>25000</v>
      </c>
      <c r="F188" s="9">
        <f t="shared" si="3"/>
        <v>175000</v>
      </c>
    </row>
    <row r="189" spans="1:6" x14ac:dyDescent="0.25">
      <c r="A189" s="8"/>
      <c r="B189" t="s">
        <v>45</v>
      </c>
      <c r="C189">
        <v>1</v>
      </c>
      <c r="D189" t="s">
        <v>96</v>
      </c>
      <c r="E189" s="9">
        <v>27000</v>
      </c>
      <c r="F189" s="9">
        <f t="shared" si="3"/>
        <v>27000</v>
      </c>
    </row>
    <row r="190" spans="1:6" x14ac:dyDescent="0.25">
      <c r="A190" s="8"/>
      <c r="B190" t="s">
        <v>45</v>
      </c>
      <c r="C190">
        <v>1</v>
      </c>
      <c r="D190" t="s">
        <v>174</v>
      </c>
      <c r="E190" s="9">
        <v>15000</v>
      </c>
      <c r="F190" s="9">
        <f t="shared" si="3"/>
        <v>15000</v>
      </c>
    </row>
    <row r="191" spans="1:6" x14ac:dyDescent="0.25">
      <c r="A191" s="8"/>
      <c r="B191" t="s">
        <v>45</v>
      </c>
      <c r="C191">
        <v>1</v>
      </c>
      <c r="D191" t="s">
        <v>96</v>
      </c>
      <c r="E191" s="9">
        <v>25000</v>
      </c>
      <c r="F191" s="9">
        <f t="shared" si="3"/>
        <v>25000</v>
      </c>
    </row>
    <row r="192" spans="1:6" x14ac:dyDescent="0.25">
      <c r="A192" s="8"/>
      <c r="B192" t="s">
        <v>45</v>
      </c>
      <c r="C192">
        <v>5</v>
      </c>
      <c r="D192" t="s">
        <v>72</v>
      </c>
      <c r="E192" s="9">
        <v>25000</v>
      </c>
      <c r="F192" s="9">
        <f t="shared" si="3"/>
        <v>125000</v>
      </c>
    </row>
    <row r="193" spans="1:6" x14ac:dyDescent="0.25">
      <c r="A193" s="8"/>
      <c r="B193" t="s">
        <v>45</v>
      </c>
      <c r="C193">
        <v>1</v>
      </c>
      <c r="D193" t="s">
        <v>71</v>
      </c>
      <c r="E193" s="9">
        <v>24000</v>
      </c>
      <c r="F193" s="9">
        <f t="shared" si="3"/>
        <v>24000</v>
      </c>
    </row>
    <row r="194" spans="1:6" x14ac:dyDescent="0.25">
      <c r="A194" s="8">
        <v>45341</v>
      </c>
      <c r="B194" t="s">
        <v>113</v>
      </c>
      <c r="C194">
        <v>4</v>
      </c>
      <c r="D194" t="s">
        <v>69</v>
      </c>
      <c r="E194" s="9">
        <v>25000</v>
      </c>
      <c r="F194" s="9">
        <f t="shared" si="3"/>
        <v>100000</v>
      </c>
    </row>
    <row r="195" spans="1:6" x14ac:dyDescent="0.25">
      <c r="A195" s="8"/>
      <c r="B195" t="s">
        <v>42</v>
      </c>
      <c r="C195">
        <v>20</v>
      </c>
      <c r="D195" t="s">
        <v>69</v>
      </c>
      <c r="E195" s="9">
        <v>25000</v>
      </c>
      <c r="F195" s="9">
        <f t="shared" si="3"/>
        <v>500000</v>
      </c>
    </row>
    <row r="196" spans="1:6" x14ac:dyDescent="0.25">
      <c r="A196" s="8"/>
      <c r="B196" t="s">
        <v>98</v>
      </c>
      <c r="C196">
        <v>11</v>
      </c>
      <c r="D196" t="s">
        <v>70</v>
      </c>
      <c r="E196" s="9">
        <v>23000</v>
      </c>
      <c r="F196" s="9">
        <f t="shared" si="3"/>
        <v>253000</v>
      </c>
    </row>
    <row r="197" spans="1:6" x14ac:dyDescent="0.25">
      <c r="A197" s="8">
        <v>45342</v>
      </c>
      <c r="B197" t="s">
        <v>80</v>
      </c>
      <c r="C197">
        <v>15</v>
      </c>
      <c r="D197" t="s">
        <v>72</v>
      </c>
      <c r="E197" s="9">
        <v>25000</v>
      </c>
      <c r="F197" s="9">
        <f t="shared" si="3"/>
        <v>375000</v>
      </c>
    </row>
    <row r="198" spans="1:6" x14ac:dyDescent="0.25">
      <c r="A198" s="8"/>
      <c r="B198" t="s">
        <v>117</v>
      </c>
      <c r="C198">
        <v>5</v>
      </c>
      <c r="D198" t="s">
        <v>72</v>
      </c>
      <c r="E198" s="9">
        <v>24000</v>
      </c>
      <c r="F198" s="9">
        <f t="shared" si="3"/>
        <v>120000</v>
      </c>
    </row>
    <row r="199" spans="1:6" x14ac:dyDescent="0.25">
      <c r="A199" s="8"/>
      <c r="B199" t="s">
        <v>107</v>
      </c>
      <c r="C199">
        <v>5</v>
      </c>
      <c r="D199" t="s">
        <v>72</v>
      </c>
      <c r="E199" s="9">
        <v>25000</v>
      </c>
      <c r="F199" s="9">
        <f t="shared" si="3"/>
        <v>125000</v>
      </c>
    </row>
    <row r="200" spans="1:6" x14ac:dyDescent="0.25">
      <c r="A200" s="8"/>
      <c r="B200" t="s">
        <v>178</v>
      </c>
      <c r="C200">
        <v>7</v>
      </c>
      <c r="D200" t="s">
        <v>72</v>
      </c>
      <c r="E200" s="9">
        <v>25000</v>
      </c>
      <c r="F200" s="9">
        <f t="shared" si="3"/>
        <v>175000</v>
      </c>
    </row>
    <row r="201" spans="1:6" x14ac:dyDescent="0.25">
      <c r="A201" s="8"/>
      <c r="B201" t="s">
        <v>179</v>
      </c>
      <c r="C201">
        <v>3</v>
      </c>
      <c r="D201" t="s">
        <v>69</v>
      </c>
      <c r="E201" s="9">
        <v>25000</v>
      </c>
      <c r="F201" s="9">
        <f t="shared" si="3"/>
        <v>75000</v>
      </c>
    </row>
    <row r="202" spans="1:6" x14ac:dyDescent="0.25">
      <c r="A202" s="8"/>
      <c r="B202" t="s">
        <v>119</v>
      </c>
      <c r="C202">
        <v>5</v>
      </c>
      <c r="D202" t="s">
        <v>69</v>
      </c>
      <c r="E202" s="9">
        <v>25000</v>
      </c>
      <c r="F202" s="9">
        <f t="shared" si="3"/>
        <v>125000</v>
      </c>
    </row>
    <row r="203" spans="1:6" x14ac:dyDescent="0.25">
      <c r="A203" s="8"/>
      <c r="B203" t="s">
        <v>101</v>
      </c>
      <c r="C203">
        <v>7</v>
      </c>
      <c r="D203" t="s">
        <v>69</v>
      </c>
      <c r="E203" s="9">
        <v>25000</v>
      </c>
      <c r="F203" s="9">
        <f t="shared" si="3"/>
        <v>175000</v>
      </c>
    </row>
    <row r="204" spans="1:6" x14ac:dyDescent="0.25">
      <c r="A204" s="8"/>
      <c r="B204" t="s">
        <v>101</v>
      </c>
      <c r="C204">
        <v>10</v>
      </c>
      <c r="D204" t="s">
        <v>72</v>
      </c>
      <c r="E204" s="9">
        <v>24000</v>
      </c>
      <c r="F204" s="9">
        <f t="shared" si="3"/>
        <v>240000</v>
      </c>
    </row>
    <row r="205" spans="1:6" x14ac:dyDescent="0.25">
      <c r="A205" s="8"/>
      <c r="B205" t="s">
        <v>52</v>
      </c>
      <c r="C205">
        <v>43</v>
      </c>
      <c r="D205" t="s">
        <v>72</v>
      </c>
      <c r="E205" s="9">
        <v>25000</v>
      </c>
      <c r="F205" s="9">
        <f t="shared" si="3"/>
        <v>1075000</v>
      </c>
    </row>
    <row r="206" spans="1:6" x14ac:dyDescent="0.25">
      <c r="A206" s="8"/>
      <c r="B206" t="s">
        <v>52</v>
      </c>
      <c r="C206">
        <v>38</v>
      </c>
      <c r="D206" t="s">
        <v>71</v>
      </c>
      <c r="E206" s="9">
        <v>24000</v>
      </c>
      <c r="F206" s="9">
        <f t="shared" si="3"/>
        <v>912000</v>
      </c>
    </row>
    <row r="207" spans="1:6" x14ac:dyDescent="0.25">
      <c r="A207" s="8"/>
      <c r="B207" t="s">
        <v>45</v>
      </c>
      <c r="C207">
        <v>4</v>
      </c>
      <c r="D207" t="s">
        <v>72</v>
      </c>
      <c r="E207" s="9">
        <v>25000</v>
      </c>
      <c r="F207" s="9">
        <f t="shared" si="3"/>
        <v>100000</v>
      </c>
    </row>
    <row r="208" spans="1:6" x14ac:dyDescent="0.25">
      <c r="A208" s="8">
        <v>45343</v>
      </c>
      <c r="B208" t="s">
        <v>177</v>
      </c>
      <c r="C208">
        <v>5</v>
      </c>
      <c r="D208" t="s">
        <v>70</v>
      </c>
      <c r="E208" s="9">
        <v>23000</v>
      </c>
      <c r="F208" s="9">
        <f t="shared" si="3"/>
        <v>115000</v>
      </c>
    </row>
    <row r="209" spans="1:6" x14ac:dyDescent="0.25">
      <c r="A209" s="8"/>
      <c r="B209" t="s">
        <v>177</v>
      </c>
      <c r="C209">
        <v>5</v>
      </c>
      <c r="D209" t="s">
        <v>72</v>
      </c>
      <c r="E209" s="9">
        <v>25000</v>
      </c>
      <c r="F209" s="9">
        <f t="shared" si="3"/>
        <v>125000</v>
      </c>
    </row>
    <row r="210" spans="1:6" x14ac:dyDescent="0.25">
      <c r="A210" s="8"/>
      <c r="B210" t="s">
        <v>42</v>
      </c>
      <c r="C210">
        <v>15</v>
      </c>
      <c r="D210" t="s">
        <v>72</v>
      </c>
      <c r="E210" s="9">
        <v>25000</v>
      </c>
      <c r="F210" s="9">
        <f t="shared" si="3"/>
        <v>375000</v>
      </c>
    </row>
    <row r="211" spans="1:6" x14ac:dyDescent="0.25">
      <c r="A211" s="8"/>
      <c r="B211" t="s">
        <v>82</v>
      </c>
      <c r="C211">
        <v>34</v>
      </c>
      <c r="D211" t="s">
        <v>72</v>
      </c>
      <c r="E211" s="9">
        <v>25000</v>
      </c>
      <c r="F211" s="9">
        <f t="shared" si="3"/>
        <v>850000</v>
      </c>
    </row>
    <row r="212" spans="1:6" x14ac:dyDescent="0.25">
      <c r="A212" s="8">
        <v>45344</v>
      </c>
      <c r="B212" t="s">
        <v>89</v>
      </c>
      <c r="C212">
        <v>10</v>
      </c>
      <c r="D212" t="s">
        <v>72</v>
      </c>
      <c r="E212" s="9">
        <v>25000</v>
      </c>
      <c r="F212" s="9">
        <f t="shared" si="3"/>
        <v>250000</v>
      </c>
    </row>
    <row r="213" spans="1:6" x14ac:dyDescent="0.25">
      <c r="A213" s="8"/>
      <c r="B213" t="s">
        <v>116</v>
      </c>
      <c r="C213">
        <v>5</v>
      </c>
      <c r="D213" t="s">
        <v>69</v>
      </c>
      <c r="E213" s="9">
        <v>25000</v>
      </c>
      <c r="F213" s="9">
        <f t="shared" si="3"/>
        <v>125000</v>
      </c>
    </row>
    <row r="214" spans="1:6" x14ac:dyDescent="0.25">
      <c r="A214" s="8"/>
      <c r="B214" t="s">
        <v>180</v>
      </c>
      <c r="C214">
        <v>3</v>
      </c>
      <c r="D214" t="s">
        <v>71</v>
      </c>
      <c r="E214" s="9">
        <v>24000</v>
      </c>
      <c r="F214" s="9">
        <f t="shared" si="3"/>
        <v>72000</v>
      </c>
    </row>
    <row r="215" spans="1:6" x14ac:dyDescent="0.25">
      <c r="A215" s="8"/>
      <c r="B215" t="s">
        <v>130</v>
      </c>
      <c r="C215">
        <v>14</v>
      </c>
      <c r="D215" t="s">
        <v>71</v>
      </c>
      <c r="E215" s="9">
        <v>24000</v>
      </c>
      <c r="F215" s="9">
        <f t="shared" si="3"/>
        <v>336000</v>
      </c>
    </row>
    <row r="216" spans="1:6" x14ac:dyDescent="0.25">
      <c r="A216" s="8"/>
      <c r="B216" t="s">
        <v>42</v>
      </c>
      <c r="C216">
        <v>10</v>
      </c>
      <c r="D216" t="s">
        <v>69</v>
      </c>
      <c r="E216" s="9">
        <v>25000</v>
      </c>
      <c r="F216" s="9">
        <f t="shared" si="3"/>
        <v>250000</v>
      </c>
    </row>
    <row r="217" spans="1:6" x14ac:dyDescent="0.25">
      <c r="A217" s="8">
        <v>45344</v>
      </c>
      <c r="B217" t="s">
        <v>39</v>
      </c>
      <c r="C217">
        <v>37</v>
      </c>
      <c r="D217" t="s">
        <v>72</v>
      </c>
      <c r="E217" s="9">
        <v>24000</v>
      </c>
      <c r="F217" s="9">
        <f t="shared" si="3"/>
        <v>888000</v>
      </c>
    </row>
    <row r="218" spans="1:6" x14ac:dyDescent="0.25">
      <c r="A218" s="8"/>
      <c r="B218" t="s">
        <v>39</v>
      </c>
      <c r="C218">
        <v>15</v>
      </c>
      <c r="D218" t="s">
        <v>71</v>
      </c>
      <c r="E218" s="9">
        <v>23000</v>
      </c>
      <c r="F218" s="9">
        <f t="shared" si="3"/>
        <v>345000</v>
      </c>
    </row>
    <row r="219" spans="1:6" x14ac:dyDescent="0.25">
      <c r="A219" s="8"/>
      <c r="B219" t="s">
        <v>45</v>
      </c>
      <c r="C219">
        <v>1</v>
      </c>
      <c r="D219" t="s">
        <v>72</v>
      </c>
      <c r="E219" s="9">
        <v>25000</v>
      </c>
      <c r="F219" s="9">
        <f t="shared" si="3"/>
        <v>25000</v>
      </c>
    </row>
    <row r="220" spans="1:6" x14ac:dyDescent="0.25">
      <c r="A220" s="8"/>
      <c r="B220" t="s">
        <v>45</v>
      </c>
      <c r="C220">
        <v>1</v>
      </c>
      <c r="D220" t="s">
        <v>174</v>
      </c>
      <c r="E220" s="9">
        <v>15000</v>
      </c>
      <c r="F220" s="9">
        <f t="shared" si="3"/>
        <v>15000</v>
      </c>
    </row>
    <row r="221" spans="1:6" x14ac:dyDescent="0.25">
      <c r="A221" s="8">
        <v>45345</v>
      </c>
      <c r="B221" t="s">
        <v>45</v>
      </c>
      <c r="C221">
        <v>2</v>
      </c>
      <c r="D221" t="s">
        <v>70</v>
      </c>
      <c r="E221" s="9">
        <v>22000</v>
      </c>
      <c r="F221" s="9">
        <f t="shared" si="3"/>
        <v>44000</v>
      </c>
    </row>
    <row r="222" spans="1:6" x14ac:dyDescent="0.25">
      <c r="A222" s="8"/>
      <c r="B222" t="s">
        <v>117</v>
      </c>
      <c r="C222">
        <v>5</v>
      </c>
      <c r="D222" t="s">
        <v>69</v>
      </c>
      <c r="E222" s="9">
        <v>27000</v>
      </c>
      <c r="F222" s="9">
        <f t="shared" si="3"/>
        <v>135000</v>
      </c>
    </row>
    <row r="223" spans="1:6" x14ac:dyDescent="0.25">
      <c r="A223" s="8"/>
      <c r="B223" t="s">
        <v>100</v>
      </c>
      <c r="C223">
        <v>5</v>
      </c>
      <c r="D223" t="s">
        <v>96</v>
      </c>
      <c r="E223" s="9">
        <v>30000</v>
      </c>
      <c r="F223" s="9">
        <f t="shared" si="3"/>
        <v>150000</v>
      </c>
    </row>
    <row r="224" spans="1:6" x14ac:dyDescent="0.25">
      <c r="A224" s="8"/>
      <c r="B224" t="s">
        <v>82</v>
      </c>
      <c r="C224">
        <v>30</v>
      </c>
      <c r="D224" t="s">
        <v>72</v>
      </c>
      <c r="E224" s="9">
        <v>25000</v>
      </c>
      <c r="F224" s="9">
        <f t="shared" si="3"/>
        <v>750000</v>
      </c>
    </row>
    <row r="225" spans="1:6" x14ac:dyDescent="0.25">
      <c r="A225" s="8"/>
      <c r="B225" t="s">
        <v>52</v>
      </c>
      <c r="C225">
        <v>16</v>
      </c>
      <c r="D225" t="s">
        <v>71</v>
      </c>
      <c r="E225" s="9">
        <v>22000</v>
      </c>
      <c r="F225" s="9">
        <f t="shared" si="3"/>
        <v>352000</v>
      </c>
    </row>
    <row r="226" spans="1:6" x14ac:dyDescent="0.25">
      <c r="A226" s="8"/>
      <c r="B226" t="s">
        <v>45</v>
      </c>
      <c r="C226">
        <v>7</v>
      </c>
      <c r="D226" t="s">
        <v>72</v>
      </c>
      <c r="E226" s="9">
        <v>25000</v>
      </c>
      <c r="F226" s="9">
        <f t="shared" si="3"/>
        <v>175000</v>
      </c>
    </row>
    <row r="227" spans="1:6" x14ac:dyDescent="0.25">
      <c r="A227" s="8"/>
      <c r="B227" t="s">
        <v>102</v>
      </c>
      <c r="C227">
        <v>4</v>
      </c>
      <c r="D227" t="s">
        <v>69</v>
      </c>
      <c r="E227" s="9">
        <v>25000</v>
      </c>
      <c r="F227" s="9">
        <f t="shared" si="3"/>
        <v>100000</v>
      </c>
    </row>
    <row r="228" spans="1:6" x14ac:dyDescent="0.25">
      <c r="A228" s="8"/>
      <c r="B228" t="s">
        <v>64</v>
      </c>
      <c r="C228">
        <v>3</v>
      </c>
      <c r="D228" t="s">
        <v>71</v>
      </c>
      <c r="E228" s="9">
        <v>24000</v>
      </c>
      <c r="F228" s="9">
        <f t="shared" si="3"/>
        <v>72000</v>
      </c>
    </row>
    <row r="229" spans="1:6" x14ac:dyDescent="0.25">
      <c r="A229" s="8"/>
      <c r="B229" t="s">
        <v>181</v>
      </c>
      <c r="C229">
        <v>5</v>
      </c>
      <c r="D229" t="s">
        <v>70</v>
      </c>
      <c r="E229" s="9">
        <v>20000</v>
      </c>
      <c r="F229" s="9">
        <f t="shared" si="3"/>
        <v>100000</v>
      </c>
    </row>
    <row r="230" spans="1:6" x14ac:dyDescent="0.25">
      <c r="A230" s="8"/>
      <c r="B230" t="s">
        <v>182</v>
      </c>
      <c r="C230">
        <v>4</v>
      </c>
      <c r="D230" t="s">
        <v>69</v>
      </c>
      <c r="E230" s="9">
        <v>25000</v>
      </c>
      <c r="F230" s="9">
        <f t="shared" si="3"/>
        <v>100000</v>
      </c>
    </row>
    <row r="231" spans="1:6" x14ac:dyDescent="0.25">
      <c r="A231" s="8"/>
      <c r="B231" t="s">
        <v>45</v>
      </c>
      <c r="C231">
        <v>1</v>
      </c>
      <c r="D231" t="s">
        <v>70</v>
      </c>
      <c r="E231" s="9">
        <v>23000</v>
      </c>
      <c r="F231" s="9">
        <f t="shared" si="3"/>
        <v>23000</v>
      </c>
    </row>
    <row r="232" spans="1:6" x14ac:dyDescent="0.25">
      <c r="A232" s="8">
        <v>45346</v>
      </c>
      <c r="B232" t="s">
        <v>98</v>
      </c>
      <c r="C232">
        <v>10</v>
      </c>
      <c r="D232" t="s">
        <v>70</v>
      </c>
      <c r="E232" s="9">
        <v>23000</v>
      </c>
      <c r="F232" s="9">
        <f t="shared" si="3"/>
        <v>230000</v>
      </c>
    </row>
    <row r="233" spans="1:6" x14ac:dyDescent="0.25">
      <c r="A233" s="8"/>
      <c r="B233" t="s">
        <v>181</v>
      </c>
      <c r="C233">
        <v>5</v>
      </c>
      <c r="D233" t="s">
        <v>70</v>
      </c>
      <c r="E233" s="9">
        <v>20000</v>
      </c>
      <c r="F233" s="9">
        <f t="shared" si="3"/>
        <v>100000</v>
      </c>
    </row>
    <row r="234" spans="1:6" x14ac:dyDescent="0.25">
      <c r="A234" s="8">
        <v>45347</v>
      </c>
      <c r="B234" t="s">
        <v>39</v>
      </c>
      <c r="C234">
        <v>33</v>
      </c>
      <c r="D234" t="s">
        <v>72</v>
      </c>
      <c r="E234" s="9">
        <v>25000</v>
      </c>
      <c r="F234" s="9">
        <f t="shared" si="3"/>
        <v>825000</v>
      </c>
    </row>
    <row r="235" spans="1:6" x14ac:dyDescent="0.25">
      <c r="A235" s="8">
        <v>45348</v>
      </c>
      <c r="B235" t="s">
        <v>45</v>
      </c>
      <c r="C235">
        <v>4</v>
      </c>
      <c r="D235" t="s">
        <v>72</v>
      </c>
      <c r="E235" s="9">
        <v>25000</v>
      </c>
      <c r="F235" s="9">
        <f t="shared" si="3"/>
        <v>100000</v>
      </c>
    </row>
    <row r="236" spans="1:6" x14ac:dyDescent="0.25">
      <c r="A236" s="8"/>
      <c r="B236" t="s">
        <v>85</v>
      </c>
      <c r="C236">
        <v>15</v>
      </c>
      <c r="D236" t="s">
        <v>72</v>
      </c>
      <c r="E236" s="9">
        <v>25000</v>
      </c>
      <c r="F236" s="9">
        <f t="shared" si="3"/>
        <v>375000</v>
      </c>
    </row>
    <row r="237" spans="1:6" x14ac:dyDescent="0.25">
      <c r="A237" s="8"/>
      <c r="B237" t="s">
        <v>119</v>
      </c>
      <c r="C237">
        <v>3</v>
      </c>
      <c r="D237" t="s">
        <v>69</v>
      </c>
      <c r="E237" s="9">
        <v>27000</v>
      </c>
      <c r="F237" s="9">
        <f t="shared" si="3"/>
        <v>81000</v>
      </c>
    </row>
    <row r="238" spans="1:6" x14ac:dyDescent="0.25">
      <c r="A238" s="8"/>
      <c r="B238" t="s">
        <v>119</v>
      </c>
      <c r="C238">
        <v>4</v>
      </c>
      <c r="D238" t="s">
        <v>72</v>
      </c>
      <c r="E238" s="9">
        <v>25000</v>
      </c>
      <c r="F238" s="9">
        <f t="shared" si="3"/>
        <v>100000</v>
      </c>
    </row>
    <row r="239" spans="1:6" x14ac:dyDescent="0.25">
      <c r="A239" s="8"/>
      <c r="B239" t="s">
        <v>42</v>
      </c>
      <c r="C239">
        <v>32</v>
      </c>
      <c r="D239" t="s">
        <v>69</v>
      </c>
      <c r="E239" s="9">
        <v>25000</v>
      </c>
      <c r="F239" s="9">
        <f t="shared" si="3"/>
        <v>800000</v>
      </c>
    </row>
    <row r="240" spans="1:6" x14ac:dyDescent="0.25">
      <c r="A240" s="8"/>
      <c r="B240" t="s">
        <v>52</v>
      </c>
      <c r="C240">
        <v>48</v>
      </c>
      <c r="D240" t="s">
        <v>72</v>
      </c>
      <c r="E240" s="9">
        <v>25000</v>
      </c>
      <c r="F240" s="9">
        <f t="shared" si="3"/>
        <v>1200000</v>
      </c>
    </row>
    <row r="241" spans="1:10" x14ac:dyDescent="0.25">
      <c r="A241" s="8">
        <v>45349</v>
      </c>
      <c r="B241" t="s">
        <v>89</v>
      </c>
      <c r="C241">
        <v>10</v>
      </c>
      <c r="D241" t="s">
        <v>72</v>
      </c>
      <c r="E241" s="9">
        <v>25000</v>
      </c>
      <c r="F241" s="9">
        <f t="shared" si="3"/>
        <v>250000</v>
      </c>
    </row>
    <row r="242" spans="1:10" x14ac:dyDescent="0.25">
      <c r="A242" s="8"/>
      <c r="B242" t="s">
        <v>183</v>
      </c>
      <c r="C242">
        <v>40</v>
      </c>
      <c r="D242" t="s">
        <v>71</v>
      </c>
      <c r="E242" s="9">
        <v>23000</v>
      </c>
      <c r="F242" s="9">
        <f t="shared" si="3"/>
        <v>920000</v>
      </c>
    </row>
    <row r="243" spans="1:10" x14ac:dyDescent="0.25">
      <c r="A243" s="8"/>
      <c r="B243" t="s">
        <v>117</v>
      </c>
      <c r="C243">
        <v>5</v>
      </c>
      <c r="D243" t="s">
        <v>69</v>
      </c>
      <c r="E243" s="9">
        <v>27000</v>
      </c>
      <c r="F243" s="9">
        <f t="shared" si="3"/>
        <v>135000</v>
      </c>
    </row>
    <row r="244" spans="1:10" x14ac:dyDescent="0.25">
      <c r="A244" s="8"/>
      <c r="B244" t="s">
        <v>101</v>
      </c>
      <c r="C244">
        <v>15</v>
      </c>
      <c r="D244" t="s">
        <v>69</v>
      </c>
      <c r="E244" s="9">
        <v>25000</v>
      </c>
      <c r="F244" s="9">
        <f t="shared" si="3"/>
        <v>375000</v>
      </c>
    </row>
    <row r="245" spans="1:10" x14ac:dyDescent="0.25">
      <c r="A245" s="8"/>
      <c r="B245" t="s">
        <v>82</v>
      </c>
      <c r="C245">
        <v>30</v>
      </c>
      <c r="D245" t="s">
        <v>72</v>
      </c>
      <c r="E245" s="9">
        <v>25000</v>
      </c>
      <c r="F245" s="9">
        <f t="shared" si="3"/>
        <v>750000</v>
      </c>
    </row>
    <row r="246" spans="1:10" x14ac:dyDescent="0.25">
      <c r="A246" s="8"/>
      <c r="B246" t="s">
        <v>45</v>
      </c>
      <c r="C246">
        <v>2</v>
      </c>
      <c r="D246" t="s">
        <v>72</v>
      </c>
      <c r="E246" s="9">
        <v>25000</v>
      </c>
      <c r="F246" s="9">
        <f t="shared" si="3"/>
        <v>50000</v>
      </c>
    </row>
    <row r="247" spans="1:10" x14ac:dyDescent="0.25">
      <c r="A247" s="8"/>
      <c r="B247" t="s">
        <v>45</v>
      </c>
      <c r="C247">
        <v>6</v>
      </c>
      <c r="D247" t="s">
        <v>72</v>
      </c>
      <c r="E247" s="9">
        <v>25000</v>
      </c>
      <c r="F247" s="9">
        <f t="shared" si="3"/>
        <v>150000</v>
      </c>
    </row>
    <row r="248" spans="1:10" x14ac:dyDescent="0.25">
      <c r="A248" s="8"/>
      <c r="B248" t="s">
        <v>45</v>
      </c>
      <c r="C248">
        <v>2</v>
      </c>
      <c r="D248" t="s">
        <v>72</v>
      </c>
      <c r="E248" s="9">
        <v>25000</v>
      </c>
      <c r="F248" s="9">
        <f t="shared" si="3"/>
        <v>50000</v>
      </c>
    </row>
    <row r="249" spans="1:10" x14ac:dyDescent="0.25">
      <c r="A249" s="8">
        <v>45350</v>
      </c>
      <c r="B249" t="s">
        <v>39</v>
      </c>
      <c r="C249">
        <v>24</v>
      </c>
      <c r="D249" t="s">
        <v>72</v>
      </c>
      <c r="E249" s="9">
        <v>25000</v>
      </c>
      <c r="F249" s="9">
        <f t="shared" si="3"/>
        <v>600000</v>
      </c>
    </row>
    <row r="250" spans="1:10" x14ac:dyDescent="0.25">
      <c r="A250" s="8"/>
      <c r="B250" t="s">
        <v>39</v>
      </c>
      <c r="C250">
        <v>30</v>
      </c>
      <c r="D250" t="s">
        <v>71</v>
      </c>
      <c r="E250" s="9">
        <v>23000</v>
      </c>
      <c r="F250" s="9">
        <f t="shared" si="3"/>
        <v>690000</v>
      </c>
    </row>
    <row r="251" spans="1:10" x14ac:dyDescent="0.25">
      <c r="A251" s="8"/>
      <c r="B251" t="s">
        <v>39</v>
      </c>
      <c r="C251">
        <v>14</v>
      </c>
      <c r="D251" t="s">
        <v>70</v>
      </c>
      <c r="E251" s="9">
        <v>20000</v>
      </c>
      <c r="F251" s="9">
        <f t="shared" si="3"/>
        <v>280000</v>
      </c>
    </row>
    <row r="252" spans="1:10" x14ac:dyDescent="0.25">
      <c r="A252" s="8"/>
      <c r="B252" t="s">
        <v>45</v>
      </c>
      <c r="C252">
        <v>5</v>
      </c>
      <c r="D252" t="s">
        <v>71</v>
      </c>
      <c r="E252" s="9">
        <v>25000</v>
      </c>
      <c r="F252" s="9">
        <f t="shared" si="3"/>
        <v>125000</v>
      </c>
    </row>
    <row r="253" spans="1:10" x14ac:dyDescent="0.25">
      <c r="A253" s="8"/>
      <c r="B253" t="s">
        <v>175</v>
      </c>
      <c r="C253">
        <v>4</v>
      </c>
      <c r="D253" t="s">
        <v>71</v>
      </c>
      <c r="E253" s="9">
        <v>25000</v>
      </c>
      <c r="F253" s="9">
        <f t="shared" si="3"/>
        <v>100000</v>
      </c>
    </row>
    <row r="254" spans="1:10" x14ac:dyDescent="0.25">
      <c r="A254" s="8"/>
      <c r="B254" t="s">
        <v>176</v>
      </c>
      <c r="C254">
        <v>3</v>
      </c>
      <c r="D254" t="s">
        <v>70</v>
      </c>
      <c r="E254" s="9">
        <v>20000</v>
      </c>
      <c r="F254" s="9">
        <f t="shared" si="3"/>
        <v>60000</v>
      </c>
    </row>
    <row r="255" spans="1:10" x14ac:dyDescent="0.25">
      <c r="A255" s="8">
        <v>45351</v>
      </c>
      <c r="B255" s="38" t="s">
        <v>184</v>
      </c>
      <c r="C255">
        <v>5</v>
      </c>
      <c r="D255" t="s">
        <v>70</v>
      </c>
      <c r="E255" s="9">
        <v>23000</v>
      </c>
      <c r="F255" s="9">
        <f t="shared" si="3"/>
        <v>115000</v>
      </c>
    </row>
    <row r="256" spans="1:10" x14ac:dyDescent="0.25">
      <c r="A256" s="29">
        <v>45352</v>
      </c>
      <c r="B256" s="30" t="s">
        <v>45</v>
      </c>
      <c r="C256" s="30">
        <v>2</v>
      </c>
      <c r="D256" s="30" t="s">
        <v>69</v>
      </c>
      <c r="E256" s="31">
        <v>27000</v>
      </c>
      <c r="F256" s="31">
        <f t="shared" si="3"/>
        <v>54000</v>
      </c>
      <c r="G256" s="31">
        <f>+SUM(F256:F468)/SUM(C256:C468)</f>
        <v>25361.471861471862</v>
      </c>
      <c r="H256" s="36" t="s">
        <v>139</v>
      </c>
      <c r="I256" s="31">
        <v>27</v>
      </c>
      <c r="J256" s="30"/>
    </row>
    <row r="257" spans="1:13" x14ac:dyDescent="0.25">
      <c r="A257" s="8"/>
      <c r="B257" t="s">
        <v>45</v>
      </c>
      <c r="C257">
        <v>2</v>
      </c>
      <c r="D257" t="s">
        <v>71</v>
      </c>
      <c r="E257" s="9">
        <v>25000</v>
      </c>
      <c r="F257" s="9">
        <f t="shared" si="3"/>
        <v>50000</v>
      </c>
    </row>
    <row r="258" spans="1:13" x14ac:dyDescent="0.25">
      <c r="A258" s="8"/>
      <c r="B258" t="s">
        <v>87</v>
      </c>
      <c r="C258">
        <v>4</v>
      </c>
      <c r="D258" t="s">
        <v>71</v>
      </c>
      <c r="E258" s="9">
        <v>25000</v>
      </c>
      <c r="F258" s="9">
        <f t="shared" si="3"/>
        <v>100000</v>
      </c>
      <c r="H258" s="40" t="s">
        <v>144</v>
      </c>
      <c r="I258" s="40"/>
      <c r="K258" s="40" t="s">
        <v>141</v>
      </c>
      <c r="L258" s="40"/>
    </row>
    <row r="259" spans="1:13" x14ac:dyDescent="0.25">
      <c r="A259" s="8"/>
      <c r="B259" t="s">
        <v>185</v>
      </c>
      <c r="C259">
        <v>7</v>
      </c>
      <c r="D259" t="s">
        <v>72</v>
      </c>
      <c r="E259" s="9">
        <v>26000</v>
      </c>
      <c r="F259" s="9">
        <f t="shared" si="3"/>
        <v>182000</v>
      </c>
      <c r="H259" t="s">
        <v>139</v>
      </c>
      <c r="I259" s="17">
        <f>60/100*10*L259*I256</f>
        <v>1215000</v>
      </c>
      <c r="K259" t="s">
        <v>140</v>
      </c>
      <c r="L259" s="9">
        <v>7500</v>
      </c>
      <c r="M259" t="s">
        <v>146</v>
      </c>
    </row>
    <row r="260" spans="1:13" x14ac:dyDescent="0.25">
      <c r="A260" s="8"/>
      <c r="B260" t="s">
        <v>101</v>
      </c>
      <c r="C260">
        <v>15</v>
      </c>
      <c r="D260" t="s">
        <v>69</v>
      </c>
      <c r="E260" s="9">
        <v>27000</v>
      </c>
      <c r="F260" s="9">
        <f t="shared" si="3"/>
        <v>405000</v>
      </c>
      <c r="H260" t="s">
        <v>48</v>
      </c>
      <c r="I260" s="9">
        <f>+SUM(C256:C468)*L260</f>
        <v>1155000</v>
      </c>
      <c r="K260" t="s">
        <v>48</v>
      </c>
      <c r="L260" s="9">
        <v>500</v>
      </c>
      <c r="M260" t="s">
        <v>147</v>
      </c>
    </row>
    <row r="261" spans="1:13" x14ac:dyDescent="0.25">
      <c r="A261" s="8"/>
      <c r="B261" t="s">
        <v>101</v>
      </c>
      <c r="C261">
        <v>5</v>
      </c>
      <c r="D261" t="s">
        <v>72</v>
      </c>
      <c r="E261" s="9">
        <v>26000</v>
      </c>
      <c r="F261" s="9">
        <f t="shared" si="3"/>
        <v>130000</v>
      </c>
      <c r="H261" t="s">
        <v>142</v>
      </c>
      <c r="I261" s="9">
        <f>+L261*31*(L263+L264)</f>
        <v>25389000</v>
      </c>
      <c r="K261" t="s">
        <v>142</v>
      </c>
      <c r="L261" s="9">
        <v>63000</v>
      </c>
      <c r="M261" t="s">
        <v>148</v>
      </c>
    </row>
    <row r="262" spans="1:13" x14ac:dyDescent="0.25">
      <c r="A262" s="8"/>
      <c r="B262" t="s">
        <v>130</v>
      </c>
      <c r="C262">
        <v>10</v>
      </c>
      <c r="D262" t="s">
        <v>71</v>
      </c>
      <c r="E262" s="9">
        <v>24000</v>
      </c>
      <c r="F262" s="9">
        <f t="shared" si="3"/>
        <v>240000</v>
      </c>
      <c r="H262" t="s">
        <v>145</v>
      </c>
      <c r="I262" s="9">
        <f>+L262*31</f>
        <v>3144285.7142857146</v>
      </c>
      <c r="K262" t="s">
        <v>143</v>
      </c>
      <c r="L262" s="9">
        <f>500000/7+30000</f>
        <v>101428.57142857143</v>
      </c>
      <c r="M262" t="s">
        <v>149</v>
      </c>
    </row>
    <row r="263" spans="1:13" x14ac:dyDescent="0.25">
      <c r="A263" s="8"/>
      <c r="B263" t="s">
        <v>42</v>
      </c>
      <c r="C263">
        <v>20</v>
      </c>
      <c r="D263" t="s">
        <v>69</v>
      </c>
      <c r="E263" s="9">
        <v>27000</v>
      </c>
      <c r="F263" s="9">
        <f t="shared" si="3"/>
        <v>540000</v>
      </c>
      <c r="H263" t="s">
        <v>150</v>
      </c>
      <c r="I263" s="9">
        <v>15000</v>
      </c>
      <c r="J263" s="27"/>
      <c r="K263" t="s">
        <v>198</v>
      </c>
      <c r="L263" s="39">
        <v>8.5</v>
      </c>
    </row>
    <row r="264" spans="1:13" x14ac:dyDescent="0.25">
      <c r="A264" s="8"/>
      <c r="B264" t="s">
        <v>43</v>
      </c>
      <c r="C264">
        <v>40</v>
      </c>
      <c r="D264" t="s">
        <v>71</v>
      </c>
      <c r="E264" s="9">
        <v>23500</v>
      </c>
      <c r="F264" s="9">
        <f t="shared" si="3"/>
        <v>940000</v>
      </c>
      <c r="H264" t="s">
        <v>151</v>
      </c>
      <c r="I264" s="9">
        <v>150000</v>
      </c>
      <c r="K264" t="s">
        <v>199</v>
      </c>
      <c r="L264" s="39">
        <v>4.5</v>
      </c>
    </row>
    <row r="265" spans="1:13" x14ac:dyDescent="0.25">
      <c r="A265" s="8"/>
      <c r="B265" t="s">
        <v>45</v>
      </c>
      <c r="C265">
        <v>1</v>
      </c>
      <c r="D265" t="s">
        <v>174</v>
      </c>
      <c r="E265" s="9">
        <v>15000</v>
      </c>
      <c r="F265" s="9">
        <f t="shared" si="3"/>
        <v>15000</v>
      </c>
      <c r="H265" t="s">
        <v>152</v>
      </c>
      <c r="I265" s="9">
        <f>+SUM(I259:I264)</f>
        <v>31068285.714285716</v>
      </c>
    </row>
    <row r="266" spans="1:13" x14ac:dyDescent="0.25">
      <c r="A266" s="8"/>
      <c r="B266" t="s">
        <v>45</v>
      </c>
      <c r="C266">
        <v>3</v>
      </c>
      <c r="D266" t="s">
        <v>70</v>
      </c>
      <c r="E266" s="9">
        <v>25000</v>
      </c>
      <c r="F266" s="9">
        <f t="shared" si="3"/>
        <v>75000</v>
      </c>
    </row>
    <row r="267" spans="1:13" x14ac:dyDescent="0.25">
      <c r="A267" s="8">
        <v>45353</v>
      </c>
      <c r="B267" t="s">
        <v>82</v>
      </c>
      <c r="C267">
        <v>88</v>
      </c>
      <c r="D267" t="s">
        <v>72</v>
      </c>
      <c r="E267" s="9">
        <v>25000</v>
      </c>
      <c r="F267" s="9">
        <f t="shared" si="3"/>
        <v>2200000</v>
      </c>
      <c r="H267" t="s">
        <v>153</v>
      </c>
      <c r="I267" s="9">
        <f>+SUM(F256:F468)</f>
        <v>58585000</v>
      </c>
    </row>
    <row r="268" spans="1:13" ht="15.75" thickBot="1" x14ac:dyDescent="0.3">
      <c r="A268" s="8"/>
      <c r="B268" t="s">
        <v>82</v>
      </c>
      <c r="C268">
        <v>15</v>
      </c>
      <c r="D268" t="s">
        <v>71</v>
      </c>
      <c r="E268" s="9">
        <v>23000</v>
      </c>
      <c r="F268" s="9">
        <f t="shared" si="3"/>
        <v>345000</v>
      </c>
    </row>
    <row r="269" spans="1:13" ht="15.75" thickBot="1" x14ac:dyDescent="0.3">
      <c r="A269" s="8"/>
      <c r="B269" t="s">
        <v>116</v>
      </c>
      <c r="C269">
        <v>5</v>
      </c>
      <c r="D269" t="s">
        <v>69</v>
      </c>
      <c r="E269" s="9">
        <v>27000</v>
      </c>
      <c r="F269" s="9">
        <f t="shared" si="3"/>
        <v>135000</v>
      </c>
      <c r="H269" s="34" t="s">
        <v>154</v>
      </c>
      <c r="I269" s="35">
        <f>+I267-I265</f>
        <v>27516714.285714284</v>
      </c>
    </row>
    <row r="270" spans="1:13" x14ac:dyDescent="0.25">
      <c r="A270" s="8"/>
      <c r="B270" t="s">
        <v>43</v>
      </c>
      <c r="C270">
        <v>70</v>
      </c>
      <c r="D270" t="s">
        <v>71</v>
      </c>
      <c r="E270" s="9">
        <v>23500</v>
      </c>
      <c r="F270" s="9">
        <f t="shared" si="3"/>
        <v>1645000</v>
      </c>
    </row>
    <row r="271" spans="1:13" x14ac:dyDescent="0.25">
      <c r="A271" s="8"/>
      <c r="B271" t="s">
        <v>45</v>
      </c>
      <c r="C271">
        <v>1</v>
      </c>
      <c r="D271" t="s">
        <v>70</v>
      </c>
      <c r="E271" s="9">
        <v>23000</v>
      </c>
      <c r="F271" s="9">
        <f t="shared" si="3"/>
        <v>23000</v>
      </c>
    </row>
    <row r="272" spans="1:13" x14ac:dyDescent="0.25">
      <c r="A272" s="8"/>
      <c r="B272" t="s">
        <v>45</v>
      </c>
      <c r="C272">
        <v>4</v>
      </c>
      <c r="D272" t="s">
        <v>71</v>
      </c>
      <c r="E272" s="9">
        <v>25000</v>
      </c>
      <c r="F272" s="9">
        <f t="shared" si="3"/>
        <v>100000</v>
      </c>
    </row>
    <row r="273" spans="1:6" x14ac:dyDescent="0.25">
      <c r="A273" s="8"/>
      <c r="B273" t="s">
        <v>89</v>
      </c>
      <c r="C273">
        <v>10</v>
      </c>
      <c r="D273" t="s">
        <v>72</v>
      </c>
      <c r="E273" s="9">
        <v>26000</v>
      </c>
      <c r="F273" s="9">
        <f t="shared" si="3"/>
        <v>260000</v>
      </c>
    </row>
    <row r="274" spans="1:6" x14ac:dyDescent="0.25">
      <c r="A274" s="8"/>
      <c r="B274" t="s">
        <v>113</v>
      </c>
      <c r="C274">
        <v>2</v>
      </c>
      <c r="D274" t="s">
        <v>96</v>
      </c>
      <c r="E274" s="9">
        <v>30000</v>
      </c>
      <c r="F274" s="9">
        <f t="shared" si="3"/>
        <v>60000</v>
      </c>
    </row>
    <row r="275" spans="1:6" x14ac:dyDescent="0.25">
      <c r="A275" s="8">
        <v>45354</v>
      </c>
      <c r="B275" t="s">
        <v>39</v>
      </c>
      <c r="C275">
        <v>30</v>
      </c>
      <c r="D275" t="s">
        <v>72</v>
      </c>
      <c r="E275" s="9">
        <v>25000</v>
      </c>
      <c r="F275" s="9">
        <f t="shared" si="3"/>
        <v>750000</v>
      </c>
    </row>
    <row r="276" spans="1:6" x14ac:dyDescent="0.25">
      <c r="A276" s="8"/>
      <c r="B276" t="s">
        <v>39</v>
      </c>
      <c r="C276">
        <v>34</v>
      </c>
      <c r="D276" t="s">
        <v>71</v>
      </c>
      <c r="E276" s="9">
        <v>23000</v>
      </c>
      <c r="F276" s="9">
        <f t="shared" si="3"/>
        <v>782000</v>
      </c>
    </row>
    <row r="277" spans="1:6" x14ac:dyDescent="0.25">
      <c r="A277" s="8"/>
      <c r="B277" t="s">
        <v>45</v>
      </c>
      <c r="C277">
        <v>1</v>
      </c>
      <c r="D277" t="s">
        <v>70</v>
      </c>
      <c r="E277" s="9">
        <v>23000</v>
      </c>
      <c r="F277" s="9">
        <f t="shared" si="3"/>
        <v>23000</v>
      </c>
    </row>
    <row r="278" spans="1:6" x14ac:dyDescent="0.25">
      <c r="A278" s="8">
        <v>45355</v>
      </c>
      <c r="B278" t="s">
        <v>45</v>
      </c>
      <c r="C278">
        <v>2</v>
      </c>
      <c r="D278" t="s">
        <v>69</v>
      </c>
      <c r="E278" s="9">
        <v>27000</v>
      </c>
      <c r="F278" s="9">
        <f t="shared" si="3"/>
        <v>54000</v>
      </c>
    </row>
    <row r="279" spans="1:6" x14ac:dyDescent="0.25">
      <c r="A279" s="8"/>
      <c r="B279" t="s">
        <v>80</v>
      </c>
      <c r="C279">
        <v>15</v>
      </c>
      <c r="D279" t="s">
        <v>69</v>
      </c>
      <c r="E279" s="9">
        <v>27000</v>
      </c>
      <c r="F279" s="9">
        <f t="shared" si="3"/>
        <v>405000</v>
      </c>
    </row>
    <row r="280" spans="1:6" x14ac:dyDescent="0.25">
      <c r="A280" s="8"/>
      <c r="B280" t="s">
        <v>117</v>
      </c>
      <c r="C280">
        <v>5</v>
      </c>
      <c r="D280" t="s">
        <v>69</v>
      </c>
      <c r="E280" s="9">
        <v>27000</v>
      </c>
      <c r="F280" s="9">
        <f t="shared" si="3"/>
        <v>135000</v>
      </c>
    </row>
    <row r="281" spans="1:6" x14ac:dyDescent="0.25">
      <c r="A281" s="8"/>
      <c r="B281" t="s">
        <v>119</v>
      </c>
      <c r="C281">
        <v>5</v>
      </c>
      <c r="D281" t="s">
        <v>69</v>
      </c>
      <c r="E281" s="9">
        <v>27000</v>
      </c>
      <c r="F281" s="9">
        <f t="shared" si="3"/>
        <v>135000</v>
      </c>
    </row>
    <row r="282" spans="1:6" x14ac:dyDescent="0.25">
      <c r="A282" s="8"/>
      <c r="B282" t="s">
        <v>52</v>
      </c>
      <c r="C282">
        <v>40</v>
      </c>
      <c r="D282" t="s">
        <v>72</v>
      </c>
      <c r="E282" s="9">
        <v>26000</v>
      </c>
      <c r="F282" s="9">
        <f t="shared" si="3"/>
        <v>1040000</v>
      </c>
    </row>
    <row r="283" spans="1:6" x14ac:dyDescent="0.25">
      <c r="A283" s="8"/>
      <c r="B283" t="s">
        <v>42</v>
      </c>
      <c r="C283">
        <v>19</v>
      </c>
      <c r="D283" t="s">
        <v>69</v>
      </c>
      <c r="E283" s="9">
        <v>27000</v>
      </c>
      <c r="F283" s="9">
        <f t="shared" si="3"/>
        <v>513000</v>
      </c>
    </row>
    <row r="284" spans="1:6" x14ac:dyDescent="0.25">
      <c r="A284" s="8"/>
      <c r="B284" t="s">
        <v>45</v>
      </c>
      <c r="C284">
        <v>2</v>
      </c>
      <c r="D284" t="s">
        <v>174</v>
      </c>
      <c r="E284" s="9">
        <v>15000</v>
      </c>
      <c r="F284" s="9">
        <f t="shared" si="3"/>
        <v>30000</v>
      </c>
    </row>
    <row r="285" spans="1:6" x14ac:dyDescent="0.25">
      <c r="A285" s="8"/>
      <c r="B285" t="s">
        <v>45</v>
      </c>
      <c r="C285">
        <v>2</v>
      </c>
      <c r="D285" t="s">
        <v>71</v>
      </c>
      <c r="E285" s="9">
        <v>25000</v>
      </c>
      <c r="F285" s="9">
        <f t="shared" si="3"/>
        <v>50000</v>
      </c>
    </row>
    <row r="286" spans="1:6" x14ac:dyDescent="0.25">
      <c r="A286" s="8"/>
      <c r="B286" t="s">
        <v>45</v>
      </c>
      <c r="C286">
        <v>3</v>
      </c>
      <c r="D286" t="s">
        <v>71</v>
      </c>
      <c r="E286" s="9">
        <v>26000</v>
      </c>
      <c r="F286" s="9">
        <f t="shared" si="3"/>
        <v>78000</v>
      </c>
    </row>
    <row r="287" spans="1:6" x14ac:dyDescent="0.25">
      <c r="A287" s="8">
        <v>45356</v>
      </c>
      <c r="B287" t="s">
        <v>130</v>
      </c>
      <c r="C287">
        <v>10</v>
      </c>
      <c r="D287" t="s">
        <v>71</v>
      </c>
      <c r="E287" s="9">
        <v>24000</v>
      </c>
      <c r="F287" s="9">
        <f t="shared" si="3"/>
        <v>240000</v>
      </c>
    </row>
    <row r="288" spans="1:6" x14ac:dyDescent="0.25">
      <c r="A288" s="8"/>
      <c r="B288" t="s">
        <v>42</v>
      </c>
      <c r="C288">
        <v>10</v>
      </c>
      <c r="D288" t="s">
        <v>69</v>
      </c>
      <c r="E288" s="9">
        <v>27000</v>
      </c>
      <c r="F288" s="9">
        <f t="shared" si="3"/>
        <v>270000</v>
      </c>
    </row>
    <row r="289" spans="1:6" x14ac:dyDescent="0.25">
      <c r="A289" s="8"/>
      <c r="B289" t="s">
        <v>181</v>
      </c>
      <c r="C289">
        <v>5</v>
      </c>
      <c r="D289" t="s">
        <v>70</v>
      </c>
      <c r="E289" s="9">
        <v>20000</v>
      </c>
      <c r="F289" s="9">
        <f t="shared" si="3"/>
        <v>100000</v>
      </c>
    </row>
    <row r="290" spans="1:6" x14ac:dyDescent="0.25">
      <c r="A290" s="8"/>
      <c r="B290" t="s">
        <v>181</v>
      </c>
      <c r="C290">
        <v>1</v>
      </c>
      <c r="D290" t="s">
        <v>96</v>
      </c>
      <c r="E290" s="9">
        <v>30000</v>
      </c>
      <c r="F290" s="9">
        <f t="shared" si="3"/>
        <v>30000</v>
      </c>
    </row>
    <row r="291" spans="1:6" x14ac:dyDescent="0.25">
      <c r="A291" s="8"/>
      <c r="B291" t="s">
        <v>83</v>
      </c>
      <c r="C291">
        <v>36</v>
      </c>
      <c r="D291" t="s">
        <v>72</v>
      </c>
      <c r="E291" s="9">
        <v>26000</v>
      </c>
      <c r="F291" s="9">
        <f t="shared" si="3"/>
        <v>936000</v>
      </c>
    </row>
    <row r="292" spans="1:6" x14ac:dyDescent="0.25">
      <c r="A292" s="8"/>
      <c r="B292" t="s">
        <v>83</v>
      </c>
      <c r="C292">
        <v>25</v>
      </c>
      <c r="D292" t="s">
        <v>71</v>
      </c>
      <c r="E292" s="9">
        <v>23000</v>
      </c>
      <c r="F292" s="9">
        <f t="shared" si="3"/>
        <v>575000</v>
      </c>
    </row>
    <row r="293" spans="1:6" x14ac:dyDescent="0.25">
      <c r="A293" s="8"/>
      <c r="B293" t="s">
        <v>45</v>
      </c>
      <c r="C293">
        <v>3</v>
      </c>
      <c r="D293" t="s">
        <v>72</v>
      </c>
      <c r="E293" s="9">
        <v>26000</v>
      </c>
      <c r="F293" s="9">
        <f t="shared" si="3"/>
        <v>78000</v>
      </c>
    </row>
    <row r="294" spans="1:6" x14ac:dyDescent="0.25">
      <c r="A294" s="8"/>
      <c r="B294" t="s">
        <v>176</v>
      </c>
      <c r="C294">
        <v>4</v>
      </c>
      <c r="D294" t="s">
        <v>96</v>
      </c>
      <c r="E294" s="9">
        <v>30000</v>
      </c>
      <c r="F294" s="9">
        <f t="shared" si="3"/>
        <v>120000</v>
      </c>
    </row>
    <row r="295" spans="1:6" x14ac:dyDescent="0.25">
      <c r="A295" s="8">
        <v>45357</v>
      </c>
      <c r="B295" t="s">
        <v>183</v>
      </c>
      <c r="C295">
        <v>44</v>
      </c>
      <c r="D295" t="s">
        <v>71</v>
      </c>
      <c r="E295" s="9">
        <v>23000</v>
      </c>
      <c r="F295" s="9">
        <f t="shared" si="3"/>
        <v>1012000</v>
      </c>
    </row>
    <row r="296" spans="1:6" x14ac:dyDescent="0.25">
      <c r="A296" s="8"/>
      <c r="B296" t="s">
        <v>119</v>
      </c>
      <c r="C296">
        <v>5</v>
      </c>
      <c r="D296" t="s">
        <v>69</v>
      </c>
      <c r="E296" s="9">
        <v>27000</v>
      </c>
      <c r="F296" s="9">
        <f t="shared" si="3"/>
        <v>135000</v>
      </c>
    </row>
    <row r="297" spans="1:6" x14ac:dyDescent="0.25">
      <c r="A297" s="8"/>
      <c r="B297" t="s">
        <v>181</v>
      </c>
      <c r="C297">
        <v>3</v>
      </c>
      <c r="D297" t="s">
        <v>96</v>
      </c>
      <c r="E297" s="9">
        <v>25000</v>
      </c>
      <c r="F297" s="9">
        <f t="shared" si="3"/>
        <v>75000</v>
      </c>
    </row>
    <row r="298" spans="1:6" x14ac:dyDescent="0.25">
      <c r="A298" s="8"/>
      <c r="C298">
        <v>2</v>
      </c>
      <c r="D298" t="s">
        <v>96</v>
      </c>
      <c r="E298" s="9">
        <v>30000</v>
      </c>
      <c r="F298" s="9">
        <f t="shared" si="3"/>
        <v>60000</v>
      </c>
    </row>
    <row r="299" spans="1:6" x14ac:dyDescent="0.25">
      <c r="A299" s="8"/>
      <c r="B299" t="s">
        <v>186</v>
      </c>
      <c r="C299">
        <v>10</v>
      </c>
      <c r="D299" t="s">
        <v>72</v>
      </c>
      <c r="E299" s="9">
        <v>26000</v>
      </c>
      <c r="F299" s="9">
        <f t="shared" si="3"/>
        <v>260000</v>
      </c>
    </row>
    <row r="300" spans="1:6" x14ac:dyDescent="0.25">
      <c r="A300" s="8"/>
      <c r="B300" t="s">
        <v>45</v>
      </c>
      <c r="C300">
        <v>2</v>
      </c>
      <c r="D300" t="s">
        <v>69</v>
      </c>
      <c r="E300" s="9">
        <v>28000</v>
      </c>
      <c r="F300" s="9">
        <f t="shared" si="3"/>
        <v>56000</v>
      </c>
    </row>
    <row r="301" spans="1:6" x14ac:dyDescent="0.25">
      <c r="A301" s="8"/>
      <c r="B301" t="s">
        <v>82</v>
      </c>
      <c r="C301">
        <v>36</v>
      </c>
      <c r="D301" t="s">
        <v>72</v>
      </c>
      <c r="E301" s="9">
        <v>26000</v>
      </c>
      <c r="F301" s="9">
        <f t="shared" si="3"/>
        <v>936000</v>
      </c>
    </row>
    <row r="302" spans="1:6" x14ac:dyDescent="0.25">
      <c r="A302" s="8"/>
      <c r="B302" t="s">
        <v>82</v>
      </c>
      <c r="C302">
        <v>21</v>
      </c>
      <c r="D302" t="s">
        <v>71</v>
      </c>
      <c r="E302" s="9">
        <v>23000</v>
      </c>
      <c r="F302" s="9">
        <f t="shared" si="3"/>
        <v>483000</v>
      </c>
    </row>
    <row r="303" spans="1:6" x14ac:dyDescent="0.25">
      <c r="A303" s="8"/>
      <c r="B303" t="s">
        <v>45</v>
      </c>
      <c r="C303">
        <v>4</v>
      </c>
      <c r="D303" t="s">
        <v>72</v>
      </c>
      <c r="E303" s="9">
        <v>26000</v>
      </c>
      <c r="F303" s="9">
        <f t="shared" si="3"/>
        <v>104000</v>
      </c>
    </row>
    <row r="304" spans="1:6" x14ac:dyDescent="0.25">
      <c r="A304" s="8">
        <v>45358</v>
      </c>
      <c r="B304" t="s">
        <v>100</v>
      </c>
      <c r="C304">
        <v>5</v>
      </c>
      <c r="D304" t="s">
        <v>96</v>
      </c>
      <c r="E304" s="9">
        <v>30000</v>
      </c>
      <c r="F304" s="9">
        <f t="shared" si="3"/>
        <v>150000</v>
      </c>
    </row>
    <row r="305" spans="1:6" x14ac:dyDescent="0.25">
      <c r="A305" s="8"/>
      <c r="B305" t="s">
        <v>39</v>
      </c>
      <c r="C305">
        <v>32</v>
      </c>
      <c r="D305" t="s">
        <v>72</v>
      </c>
      <c r="E305" s="9">
        <v>26000</v>
      </c>
      <c r="F305" s="9">
        <f t="shared" si="3"/>
        <v>832000</v>
      </c>
    </row>
    <row r="306" spans="1:6" x14ac:dyDescent="0.25">
      <c r="A306" s="8"/>
      <c r="B306" t="s">
        <v>39</v>
      </c>
      <c r="C306">
        <v>-40</v>
      </c>
      <c r="D306" t="s">
        <v>71</v>
      </c>
      <c r="E306" s="9">
        <v>23000</v>
      </c>
      <c r="F306" s="9">
        <f t="shared" si="3"/>
        <v>-920000</v>
      </c>
    </row>
    <row r="307" spans="1:6" x14ac:dyDescent="0.25">
      <c r="A307" s="8"/>
      <c r="B307" t="s">
        <v>98</v>
      </c>
      <c r="C307">
        <v>10</v>
      </c>
      <c r="D307" t="s">
        <v>71</v>
      </c>
      <c r="E307" s="9">
        <v>24000</v>
      </c>
      <c r="F307" s="9">
        <f t="shared" si="3"/>
        <v>240000</v>
      </c>
    </row>
    <row r="308" spans="1:6" x14ac:dyDescent="0.25">
      <c r="A308" s="8"/>
      <c r="B308" t="s">
        <v>82</v>
      </c>
      <c r="C308">
        <v>48</v>
      </c>
      <c r="D308" t="s">
        <v>71</v>
      </c>
      <c r="E308" s="9">
        <v>23000</v>
      </c>
      <c r="F308" s="9">
        <f t="shared" si="3"/>
        <v>1104000</v>
      </c>
    </row>
    <row r="309" spans="1:6" x14ac:dyDescent="0.25">
      <c r="A309" s="8"/>
      <c r="B309" t="s">
        <v>101</v>
      </c>
      <c r="C309">
        <v>15</v>
      </c>
      <c r="D309" t="s">
        <v>69</v>
      </c>
      <c r="E309" s="9">
        <v>27000</v>
      </c>
      <c r="F309" s="9">
        <f t="shared" si="3"/>
        <v>405000</v>
      </c>
    </row>
    <row r="310" spans="1:6" x14ac:dyDescent="0.25">
      <c r="A310" s="8"/>
      <c r="B310" t="s">
        <v>45</v>
      </c>
      <c r="C310">
        <v>1</v>
      </c>
      <c r="D310" t="s">
        <v>96</v>
      </c>
      <c r="E310" s="9">
        <v>30000</v>
      </c>
      <c r="F310" s="9">
        <f t="shared" si="3"/>
        <v>30000</v>
      </c>
    </row>
    <row r="311" spans="1:6" x14ac:dyDescent="0.25">
      <c r="A311" s="8"/>
      <c r="B311" t="s">
        <v>45</v>
      </c>
      <c r="C311">
        <v>2</v>
      </c>
      <c r="D311" t="s">
        <v>69</v>
      </c>
      <c r="E311" s="9">
        <v>28000</v>
      </c>
      <c r="F311" s="9">
        <f t="shared" si="3"/>
        <v>56000</v>
      </c>
    </row>
    <row r="312" spans="1:6" x14ac:dyDescent="0.25">
      <c r="A312" s="8"/>
      <c r="B312" t="s">
        <v>45</v>
      </c>
      <c r="C312">
        <v>2</v>
      </c>
      <c r="D312" t="s">
        <v>72</v>
      </c>
      <c r="E312" s="9">
        <v>27000</v>
      </c>
      <c r="F312" s="9">
        <f t="shared" si="3"/>
        <v>54000</v>
      </c>
    </row>
    <row r="313" spans="1:6" x14ac:dyDescent="0.25">
      <c r="A313" s="8"/>
      <c r="B313" t="s">
        <v>45</v>
      </c>
      <c r="C313">
        <v>1</v>
      </c>
      <c r="D313" t="s">
        <v>174</v>
      </c>
      <c r="E313" s="9">
        <v>20000</v>
      </c>
      <c r="F313" s="9">
        <f t="shared" si="3"/>
        <v>20000</v>
      </c>
    </row>
    <row r="314" spans="1:6" x14ac:dyDescent="0.25">
      <c r="A314" s="8">
        <v>45359</v>
      </c>
      <c r="B314" t="s">
        <v>87</v>
      </c>
      <c r="C314">
        <v>6</v>
      </c>
      <c r="D314" t="s">
        <v>71</v>
      </c>
      <c r="E314" s="9">
        <v>25000</v>
      </c>
      <c r="F314" s="9">
        <f t="shared" si="3"/>
        <v>150000</v>
      </c>
    </row>
    <row r="315" spans="1:6" x14ac:dyDescent="0.25">
      <c r="A315" s="8"/>
      <c r="B315" t="s">
        <v>45</v>
      </c>
      <c r="C315">
        <v>2</v>
      </c>
      <c r="D315" t="s">
        <v>72</v>
      </c>
      <c r="E315" s="9">
        <v>27000</v>
      </c>
      <c r="F315" s="9">
        <f t="shared" si="3"/>
        <v>54000</v>
      </c>
    </row>
    <row r="316" spans="1:6" x14ac:dyDescent="0.25">
      <c r="A316" s="8"/>
      <c r="B316" t="s">
        <v>135</v>
      </c>
      <c r="C316">
        <v>2</v>
      </c>
      <c r="D316" t="s">
        <v>69</v>
      </c>
      <c r="E316" s="9">
        <v>28000</v>
      </c>
      <c r="F316" s="9">
        <f t="shared" si="3"/>
        <v>56000</v>
      </c>
    </row>
    <row r="317" spans="1:6" x14ac:dyDescent="0.25">
      <c r="A317" s="8"/>
      <c r="B317" t="s">
        <v>117</v>
      </c>
      <c r="C317">
        <v>5</v>
      </c>
      <c r="D317" t="s">
        <v>69</v>
      </c>
      <c r="E317" s="9">
        <v>27000</v>
      </c>
      <c r="F317" s="9">
        <f t="shared" si="3"/>
        <v>135000</v>
      </c>
    </row>
    <row r="318" spans="1:6" x14ac:dyDescent="0.25">
      <c r="A318" s="8"/>
      <c r="B318" t="s">
        <v>187</v>
      </c>
      <c r="C318">
        <v>4</v>
      </c>
      <c r="D318" t="s">
        <v>71</v>
      </c>
      <c r="E318" s="9">
        <v>26000</v>
      </c>
      <c r="F318" s="9">
        <f t="shared" si="3"/>
        <v>104000</v>
      </c>
    </row>
    <row r="319" spans="1:6" x14ac:dyDescent="0.25">
      <c r="A319" s="8"/>
      <c r="B319" t="s">
        <v>188</v>
      </c>
      <c r="C319">
        <v>2</v>
      </c>
      <c r="D319" t="s">
        <v>71</v>
      </c>
      <c r="E319" s="9">
        <v>26000</v>
      </c>
      <c r="F319" s="9">
        <f t="shared" si="3"/>
        <v>52000</v>
      </c>
    </row>
    <row r="320" spans="1:6" x14ac:dyDescent="0.25">
      <c r="A320" s="8"/>
      <c r="B320" t="s">
        <v>188</v>
      </c>
      <c r="C320">
        <v>3</v>
      </c>
      <c r="D320" t="s">
        <v>72</v>
      </c>
      <c r="E320" s="9">
        <v>27000</v>
      </c>
      <c r="F320" s="9">
        <f t="shared" si="3"/>
        <v>81000</v>
      </c>
    </row>
    <row r="321" spans="1:6" x14ac:dyDescent="0.25">
      <c r="A321" s="8"/>
      <c r="B321" t="s">
        <v>113</v>
      </c>
      <c r="C321">
        <v>10</v>
      </c>
      <c r="D321" t="s">
        <v>71</v>
      </c>
      <c r="E321" s="9">
        <v>26000</v>
      </c>
      <c r="F321" s="9">
        <f t="shared" si="3"/>
        <v>260000</v>
      </c>
    </row>
    <row r="322" spans="1:6" x14ac:dyDescent="0.25">
      <c r="A322" s="8"/>
      <c r="B322" t="s">
        <v>113</v>
      </c>
      <c r="C322">
        <v>10</v>
      </c>
      <c r="D322" t="s">
        <v>72</v>
      </c>
      <c r="E322" s="9">
        <v>27000</v>
      </c>
      <c r="F322" s="9">
        <f t="shared" si="3"/>
        <v>270000</v>
      </c>
    </row>
    <row r="323" spans="1:6" x14ac:dyDescent="0.25">
      <c r="A323" s="8"/>
      <c r="B323" t="s">
        <v>113</v>
      </c>
      <c r="C323">
        <v>2</v>
      </c>
      <c r="D323" t="s">
        <v>96</v>
      </c>
      <c r="E323" s="9">
        <v>30000</v>
      </c>
      <c r="F323" s="9">
        <f t="shared" si="3"/>
        <v>60000</v>
      </c>
    </row>
    <row r="324" spans="1:6" x14ac:dyDescent="0.25">
      <c r="A324" s="8"/>
      <c r="B324" t="s">
        <v>184</v>
      </c>
      <c r="C324">
        <v>3</v>
      </c>
      <c r="D324" t="s">
        <v>70</v>
      </c>
      <c r="E324" s="9">
        <v>23000</v>
      </c>
      <c r="F324" s="9">
        <f t="shared" si="3"/>
        <v>69000</v>
      </c>
    </row>
    <row r="325" spans="1:6" x14ac:dyDescent="0.25">
      <c r="A325" s="8"/>
      <c r="B325" t="s">
        <v>189</v>
      </c>
      <c r="C325">
        <v>20</v>
      </c>
      <c r="D325" t="s">
        <v>72</v>
      </c>
      <c r="E325" s="9">
        <v>27000</v>
      </c>
      <c r="F325" s="9">
        <f t="shared" si="3"/>
        <v>540000</v>
      </c>
    </row>
    <row r="326" spans="1:6" x14ac:dyDescent="0.25">
      <c r="A326" s="8"/>
      <c r="B326" t="s">
        <v>189</v>
      </c>
      <c r="C326">
        <v>10</v>
      </c>
      <c r="D326" t="s">
        <v>71</v>
      </c>
      <c r="E326" s="9">
        <v>26000</v>
      </c>
      <c r="F326" s="9">
        <f t="shared" si="3"/>
        <v>260000</v>
      </c>
    </row>
    <row r="327" spans="1:6" x14ac:dyDescent="0.25">
      <c r="A327" s="8"/>
      <c r="B327" t="s">
        <v>42</v>
      </c>
      <c r="C327">
        <v>14</v>
      </c>
      <c r="D327" t="s">
        <v>69</v>
      </c>
      <c r="E327" s="9">
        <v>27000</v>
      </c>
      <c r="F327" s="9">
        <f t="shared" si="3"/>
        <v>378000</v>
      </c>
    </row>
    <row r="328" spans="1:6" x14ac:dyDescent="0.25">
      <c r="A328" s="8"/>
      <c r="B328" t="s">
        <v>181</v>
      </c>
      <c r="C328">
        <v>5</v>
      </c>
      <c r="D328" t="s">
        <v>70</v>
      </c>
      <c r="E328" s="9">
        <v>20000</v>
      </c>
      <c r="F328" s="9">
        <f t="shared" si="3"/>
        <v>100000</v>
      </c>
    </row>
    <row r="329" spans="1:6" x14ac:dyDescent="0.25">
      <c r="A329" s="8">
        <v>45360</v>
      </c>
      <c r="B329" t="s">
        <v>87</v>
      </c>
      <c r="C329">
        <v>7</v>
      </c>
      <c r="D329" t="s">
        <v>71</v>
      </c>
      <c r="E329" s="9">
        <v>25000</v>
      </c>
      <c r="F329" s="9">
        <f t="shared" si="3"/>
        <v>175000</v>
      </c>
    </row>
    <row r="330" spans="1:6" x14ac:dyDescent="0.25">
      <c r="A330" s="8"/>
      <c r="B330" t="s">
        <v>190</v>
      </c>
      <c r="C330">
        <v>3</v>
      </c>
      <c r="D330" t="s">
        <v>96</v>
      </c>
      <c r="E330" s="9">
        <v>30000</v>
      </c>
      <c r="F330" s="9">
        <f t="shared" si="3"/>
        <v>90000</v>
      </c>
    </row>
    <row r="331" spans="1:6" x14ac:dyDescent="0.25">
      <c r="A331" s="8">
        <v>45361</v>
      </c>
      <c r="B331" t="s">
        <v>100</v>
      </c>
      <c r="C331">
        <v>5</v>
      </c>
      <c r="D331" t="s">
        <v>96</v>
      </c>
      <c r="E331" s="9">
        <v>30000</v>
      </c>
      <c r="F331" s="9">
        <f t="shared" si="3"/>
        <v>150000</v>
      </c>
    </row>
    <row r="332" spans="1:6" x14ac:dyDescent="0.25">
      <c r="A332" s="8"/>
      <c r="B332" t="s">
        <v>39</v>
      </c>
      <c r="C332">
        <v>35</v>
      </c>
      <c r="D332" t="s">
        <v>72</v>
      </c>
      <c r="E332" s="9">
        <v>26000</v>
      </c>
      <c r="F332" s="9">
        <f t="shared" si="3"/>
        <v>910000</v>
      </c>
    </row>
    <row r="333" spans="1:6" x14ac:dyDescent="0.25">
      <c r="A333" s="8">
        <v>45362</v>
      </c>
      <c r="B333" t="s">
        <v>85</v>
      </c>
      <c r="C333">
        <v>12</v>
      </c>
      <c r="D333" t="s">
        <v>69</v>
      </c>
      <c r="E333" s="9">
        <v>28000</v>
      </c>
      <c r="F333" s="9">
        <f t="shared" si="3"/>
        <v>336000</v>
      </c>
    </row>
    <row r="334" spans="1:6" x14ac:dyDescent="0.25">
      <c r="A334" s="8"/>
      <c r="B334" t="s">
        <v>85</v>
      </c>
      <c r="C334">
        <v>10</v>
      </c>
      <c r="D334" t="s">
        <v>72</v>
      </c>
      <c r="E334" s="9">
        <v>27000</v>
      </c>
      <c r="F334" s="9">
        <f t="shared" si="3"/>
        <v>270000</v>
      </c>
    </row>
    <row r="335" spans="1:6" x14ac:dyDescent="0.25">
      <c r="A335" s="8"/>
      <c r="B335" t="s">
        <v>119</v>
      </c>
      <c r="C335">
        <v>6</v>
      </c>
      <c r="D335" t="s">
        <v>69</v>
      </c>
      <c r="E335" s="9">
        <v>30000</v>
      </c>
      <c r="F335" s="9">
        <f t="shared" si="3"/>
        <v>180000</v>
      </c>
    </row>
    <row r="336" spans="1:6" x14ac:dyDescent="0.25">
      <c r="A336" s="8"/>
      <c r="B336" t="s">
        <v>177</v>
      </c>
      <c r="C336">
        <v>10</v>
      </c>
      <c r="D336" t="s">
        <v>71</v>
      </c>
      <c r="E336" s="9">
        <v>26000</v>
      </c>
      <c r="F336" s="9">
        <f t="shared" si="3"/>
        <v>260000</v>
      </c>
    </row>
    <row r="337" spans="1:6" x14ac:dyDescent="0.25">
      <c r="A337" s="8"/>
      <c r="B337" t="s">
        <v>82</v>
      </c>
      <c r="C337">
        <v>47</v>
      </c>
      <c r="D337" t="s">
        <v>71</v>
      </c>
      <c r="E337" s="9">
        <v>23000</v>
      </c>
      <c r="F337" s="9">
        <f t="shared" si="3"/>
        <v>1081000</v>
      </c>
    </row>
    <row r="338" spans="1:6" x14ac:dyDescent="0.25">
      <c r="A338" s="8"/>
      <c r="B338" t="s">
        <v>82</v>
      </c>
      <c r="C338">
        <v>33</v>
      </c>
      <c r="D338" t="s">
        <v>72</v>
      </c>
      <c r="E338" s="9">
        <v>27000</v>
      </c>
      <c r="F338" s="9">
        <f t="shared" si="3"/>
        <v>891000</v>
      </c>
    </row>
    <row r="339" spans="1:6" x14ac:dyDescent="0.25">
      <c r="A339" s="8"/>
      <c r="B339" t="s">
        <v>130</v>
      </c>
      <c r="C339">
        <v>15</v>
      </c>
      <c r="D339" t="s">
        <v>71</v>
      </c>
      <c r="E339" s="9">
        <v>24000</v>
      </c>
      <c r="F339" s="9">
        <f t="shared" si="3"/>
        <v>360000</v>
      </c>
    </row>
    <row r="340" spans="1:6" x14ac:dyDescent="0.25">
      <c r="A340" s="8">
        <v>45363</v>
      </c>
      <c r="B340" t="s">
        <v>89</v>
      </c>
      <c r="C340">
        <v>10</v>
      </c>
      <c r="D340" t="s">
        <v>72</v>
      </c>
      <c r="E340" s="9">
        <v>26000</v>
      </c>
      <c r="F340" s="9">
        <f t="shared" si="3"/>
        <v>260000</v>
      </c>
    </row>
    <row r="341" spans="1:6" x14ac:dyDescent="0.25">
      <c r="A341" s="8"/>
      <c r="B341" t="s">
        <v>80</v>
      </c>
      <c r="C341">
        <v>20</v>
      </c>
      <c r="D341" t="s">
        <v>72</v>
      </c>
      <c r="E341" s="9">
        <v>27000</v>
      </c>
      <c r="F341" s="9">
        <f t="shared" si="3"/>
        <v>540000</v>
      </c>
    </row>
    <row r="342" spans="1:6" x14ac:dyDescent="0.25">
      <c r="A342" s="8"/>
      <c r="B342" t="s">
        <v>42</v>
      </c>
      <c r="C342">
        <v>20</v>
      </c>
      <c r="D342" t="s">
        <v>69</v>
      </c>
      <c r="E342" s="9">
        <v>27000</v>
      </c>
      <c r="F342" s="9">
        <f t="shared" si="3"/>
        <v>540000</v>
      </c>
    </row>
    <row r="343" spans="1:6" x14ac:dyDescent="0.25">
      <c r="A343" s="8"/>
      <c r="B343" t="s">
        <v>98</v>
      </c>
      <c r="C343">
        <v>10</v>
      </c>
      <c r="D343" t="s">
        <v>71</v>
      </c>
      <c r="E343" s="9">
        <v>24000</v>
      </c>
      <c r="F343" s="9">
        <f t="shared" si="3"/>
        <v>240000</v>
      </c>
    </row>
    <row r="344" spans="1:6" x14ac:dyDescent="0.25">
      <c r="A344" s="8"/>
      <c r="B344" t="s">
        <v>52</v>
      </c>
      <c r="C344">
        <v>17</v>
      </c>
      <c r="D344" t="s">
        <v>72</v>
      </c>
      <c r="E344" s="9">
        <v>26000</v>
      </c>
      <c r="F344" s="9">
        <f t="shared" si="3"/>
        <v>442000</v>
      </c>
    </row>
    <row r="345" spans="1:6" x14ac:dyDescent="0.25">
      <c r="A345" s="8"/>
      <c r="B345" t="s">
        <v>52</v>
      </c>
      <c r="C345">
        <v>9</v>
      </c>
      <c r="D345" t="s">
        <v>71</v>
      </c>
      <c r="E345" s="9">
        <v>23000</v>
      </c>
      <c r="F345" s="9">
        <f t="shared" si="3"/>
        <v>207000</v>
      </c>
    </row>
    <row r="346" spans="1:6" x14ac:dyDescent="0.25">
      <c r="A346" s="8"/>
      <c r="B346" t="s">
        <v>135</v>
      </c>
      <c r="C346">
        <v>2</v>
      </c>
      <c r="D346" t="s">
        <v>69</v>
      </c>
      <c r="E346" s="9">
        <v>28000</v>
      </c>
      <c r="F346" s="9">
        <f t="shared" si="3"/>
        <v>56000</v>
      </c>
    </row>
    <row r="347" spans="1:6" x14ac:dyDescent="0.25">
      <c r="A347" s="8"/>
      <c r="B347" t="s">
        <v>102</v>
      </c>
      <c r="C347">
        <v>5</v>
      </c>
      <c r="D347" t="s">
        <v>69</v>
      </c>
      <c r="E347" s="9">
        <v>28000</v>
      </c>
      <c r="F347" s="9">
        <f t="shared" si="3"/>
        <v>140000</v>
      </c>
    </row>
    <row r="348" spans="1:6" x14ac:dyDescent="0.25">
      <c r="A348" s="8"/>
      <c r="B348" t="s">
        <v>45</v>
      </c>
      <c r="C348">
        <v>4</v>
      </c>
      <c r="D348" t="s">
        <v>174</v>
      </c>
      <c r="E348" s="9">
        <v>15000</v>
      </c>
      <c r="F348" s="9">
        <f t="shared" si="3"/>
        <v>60000</v>
      </c>
    </row>
    <row r="349" spans="1:6" x14ac:dyDescent="0.25">
      <c r="A349" s="8"/>
      <c r="B349" t="s">
        <v>45</v>
      </c>
      <c r="C349">
        <v>1</v>
      </c>
      <c r="D349" t="s">
        <v>71</v>
      </c>
      <c r="E349" s="9">
        <v>25000</v>
      </c>
      <c r="F349" s="9">
        <f t="shared" si="3"/>
        <v>25000</v>
      </c>
    </row>
    <row r="350" spans="1:6" x14ac:dyDescent="0.25">
      <c r="A350" s="8"/>
      <c r="B350" t="s">
        <v>39</v>
      </c>
      <c r="C350">
        <v>33</v>
      </c>
      <c r="D350" t="s">
        <v>72</v>
      </c>
      <c r="E350" s="9">
        <v>26000</v>
      </c>
      <c r="F350" s="9">
        <f t="shared" ref="F350:F412" si="4">+E350*C350</f>
        <v>858000</v>
      </c>
    </row>
    <row r="351" spans="1:6" x14ac:dyDescent="0.25">
      <c r="A351" s="8">
        <v>45364</v>
      </c>
      <c r="B351" t="s">
        <v>45</v>
      </c>
      <c r="C351">
        <v>1</v>
      </c>
      <c r="D351" t="s">
        <v>69</v>
      </c>
      <c r="E351" s="9">
        <v>28000</v>
      </c>
      <c r="F351" s="9">
        <f t="shared" si="4"/>
        <v>28000</v>
      </c>
    </row>
    <row r="352" spans="1:6" x14ac:dyDescent="0.25">
      <c r="A352" s="8"/>
      <c r="B352" t="s">
        <v>45</v>
      </c>
      <c r="C352">
        <v>4</v>
      </c>
      <c r="D352" t="s">
        <v>72</v>
      </c>
      <c r="E352" s="9">
        <v>27000</v>
      </c>
      <c r="F352" s="9">
        <f t="shared" si="4"/>
        <v>108000</v>
      </c>
    </row>
    <row r="353" spans="1:6" x14ac:dyDescent="0.25">
      <c r="A353" s="8"/>
      <c r="B353" t="s">
        <v>101</v>
      </c>
      <c r="C353">
        <v>5</v>
      </c>
      <c r="D353" t="s">
        <v>72</v>
      </c>
      <c r="E353" s="9">
        <v>26000</v>
      </c>
      <c r="F353" s="9">
        <f t="shared" si="4"/>
        <v>130000</v>
      </c>
    </row>
    <row r="354" spans="1:6" x14ac:dyDescent="0.25">
      <c r="A354" s="8"/>
      <c r="B354" t="s">
        <v>101</v>
      </c>
      <c r="C354">
        <v>10</v>
      </c>
      <c r="D354" t="s">
        <v>69</v>
      </c>
      <c r="E354" s="9">
        <v>27000</v>
      </c>
      <c r="F354" s="9">
        <f t="shared" si="4"/>
        <v>270000</v>
      </c>
    </row>
    <row r="355" spans="1:6" x14ac:dyDescent="0.25">
      <c r="A355" s="8"/>
      <c r="B355" t="s">
        <v>83</v>
      </c>
      <c r="C355">
        <v>60</v>
      </c>
      <c r="D355" t="s">
        <v>71</v>
      </c>
      <c r="E355" s="9">
        <v>23000</v>
      </c>
      <c r="F355" s="9">
        <f t="shared" si="4"/>
        <v>1380000</v>
      </c>
    </row>
    <row r="356" spans="1:6" x14ac:dyDescent="0.25">
      <c r="A356" s="8"/>
      <c r="B356" t="s">
        <v>83</v>
      </c>
      <c r="C356">
        <v>26</v>
      </c>
      <c r="D356" t="s">
        <v>72</v>
      </c>
      <c r="E356" s="9">
        <v>27000</v>
      </c>
      <c r="F356" s="9">
        <f t="shared" si="4"/>
        <v>702000</v>
      </c>
    </row>
    <row r="357" spans="1:6" x14ac:dyDescent="0.25">
      <c r="A357" s="8">
        <v>45365</v>
      </c>
      <c r="B357" t="s">
        <v>45</v>
      </c>
      <c r="C357">
        <v>2</v>
      </c>
      <c r="D357" t="s">
        <v>174</v>
      </c>
      <c r="E357" s="9">
        <v>15000</v>
      </c>
      <c r="F357" s="9">
        <f t="shared" si="4"/>
        <v>30000</v>
      </c>
    </row>
    <row r="358" spans="1:6" x14ac:dyDescent="0.25">
      <c r="A358" s="8"/>
      <c r="B358" t="s">
        <v>184</v>
      </c>
      <c r="C358">
        <v>2</v>
      </c>
      <c r="D358" t="s">
        <v>70</v>
      </c>
      <c r="E358" s="9">
        <v>23000</v>
      </c>
      <c r="F358" s="9">
        <f t="shared" si="4"/>
        <v>46000</v>
      </c>
    </row>
    <row r="359" spans="1:6" x14ac:dyDescent="0.25">
      <c r="A359" s="8"/>
      <c r="B359" t="s">
        <v>184</v>
      </c>
      <c r="C359">
        <v>2</v>
      </c>
      <c r="D359" t="s">
        <v>72</v>
      </c>
      <c r="E359" s="9">
        <v>27000</v>
      </c>
      <c r="F359" s="9">
        <f t="shared" si="4"/>
        <v>54000</v>
      </c>
    </row>
    <row r="360" spans="1:6" x14ac:dyDescent="0.25">
      <c r="A360" s="8"/>
      <c r="B360" t="s">
        <v>45</v>
      </c>
      <c r="C360">
        <v>1</v>
      </c>
      <c r="D360" t="s">
        <v>96</v>
      </c>
      <c r="E360" s="9">
        <v>30000</v>
      </c>
      <c r="F360" s="9">
        <f t="shared" si="4"/>
        <v>30000</v>
      </c>
    </row>
    <row r="361" spans="1:6" x14ac:dyDescent="0.25">
      <c r="A361" s="8"/>
      <c r="B361" t="s">
        <v>45</v>
      </c>
      <c r="C361">
        <v>1</v>
      </c>
      <c r="D361" t="s">
        <v>71</v>
      </c>
      <c r="E361" s="9">
        <v>25000</v>
      </c>
      <c r="F361" s="9">
        <f t="shared" si="4"/>
        <v>25000</v>
      </c>
    </row>
    <row r="362" spans="1:6" x14ac:dyDescent="0.25">
      <c r="A362" s="8"/>
      <c r="B362" t="s">
        <v>45</v>
      </c>
      <c r="C362">
        <v>1</v>
      </c>
      <c r="D362" t="s">
        <v>69</v>
      </c>
      <c r="E362" s="9">
        <v>28000</v>
      </c>
      <c r="F362" s="9">
        <f t="shared" si="4"/>
        <v>28000</v>
      </c>
    </row>
    <row r="363" spans="1:6" x14ac:dyDescent="0.25">
      <c r="A363" s="8">
        <v>45366</v>
      </c>
      <c r="B363" t="s">
        <v>186</v>
      </c>
      <c r="C363">
        <v>4</v>
      </c>
      <c r="D363" t="s">
        <v>72</v>
      </c>
      <c r="E363" s="9">
        <v>27000</v>
      </c>
      <c r="F363" s="9">
        <f t="shared" si="4"/>
        <v>108000</v>
      </c>
    </row>
    <row r="364" spans="1:6" x14ac:dyDescent="0.25">
      <c r="A364" s="8"/>
      <c r="B364" t="s">
        <v>191</v>
      </c>
      <c r="C364">
        <v>2</v>
      </c>
      <c r="D364" t="s">
        <v>69</v>
      </c>
      <c r="E364" s="9">
        <v>28000</v>
      </c>
      <c r="F364" s="9">
        <f t="shared" si="4"/>
        <v>56000</v>
      </c>
    </row>
    <row r="365" spans="1:6" x14ac:dyDescent="0.25">
      <c r="A365" s="8"/>
      <c r="B365" t="s">
        <v>112</v>
      </c>
      <c r="C365">
        <v>1</v>
      </c>
      <c r="D365" t="s">
        <v>69</v>
      </c>
      <c r="E365" s="9">
        <v>28000</v>
      </c>
      <c r="F365" s="9">
        <f t="shared" si="4"/>
        <v>28000</v>
      </c>
    </row>
    <row r="366" spans="1:6" x14ac:dyDescent="0.25">
      <c r="A366" s="8">
        <v>45367</v>
      </c>
      <c r="B366" t="s">
        <v>89</v>
      </c>
      <c r="C366">
        <v>10</v>
      </c>
      <c r="D366" t="s">
        <v>72</v>
      </c>
      <c r="E366" s="9">
        <v>26000</v>
      </c>
      <c r="F366" s="9">
        <f t="shared" si="4"/>
        <v>260000</v>
      </c>
    </row>
    <row r="367" spans="1:6" x14ac:dyDescent="0.25">
      <c r="A367" s="8"/>
      <c r="B367" t="s">
        <v>42</v>
      </c>
      <c r="C367">
        <v>20</v>
      </c>
      <c r="D367" t="s">
        <v>69</v>
      </c>
      <c r="E367" s="9">
        <v>27000</v>
      </c>
      <c r="F367" s="9">
        <f t="shared" si="4"/>
        <v>540000</v>
      </c>
    </row>
    <row r="368" spans="1:6" x14ac:dyDescent="0.25">
      <c r="A368" s="8"/>
      <c r="B368" t="s">
        <v>192</v>
      </c>
      <c r="C368">
        <v>2</v>
      </c>
      <c r="D368" t="s">
        <v>69</v>
      </c>
      <c r="E368" s="9">
        <v>30000</v>
      </c>
      <c r="F368" s="9">
        <f t="shared" si="4"/>
        <v>60000</v>
      </c>
    </row>
    <row r="369" spans="1:6" x14ac:dyDescent="0.25">
      <c r="A369" s="8"/>
      <c r="B369" t="s">
        <v>82</v>
      </c>
      <c r="C369">
        <v>34</v>
      </c>
      <c r="D369" t="s">
        <v>72</v>
      </c>
      <c r="E369" s="9">
        <v>27000</v>
      </c>
      <c r="F369" s="9">
        <f t="shared" si="4"/>
        <v>918000</v>
      </c>
    </row>
    <row r="370" spans="1:6" x14ac:dyDescent="0.25">
      <c r="A370" s="8"/>
      <c r="B370" t="s">
        <v>82</v>
      </c>
      <c r="C370">
        <v>37</v>
      </c>
      <c r="D370" t="s">
        <v>71</v>
      </c>
      <c r="E370" s="9">
        <v>23000</v>
      </c>
      <c r="F370" s="9">
        <f t="shared" si="4"/>
        <v>851000</v>
      </c>
    </row>
    <row r="371" spans="1:6" x14ac:dyDescent="0.25">
      <c r="A371" s="8">
        <v>45369</v>
      </c>
      <c r="B371" t="s">
        <v>45</v>
      </c>
      <c r="C371">
        <v>1</v>
      </c>
      <c r="D371" t="s">
        <v>96</v>
      </c>
      <c r="E371" s="9">
        <v>30000</v>
      </c>
      <c r="F371" s="9">
        <f t="shared" si="4"/>
        <v>30000</v>
      </c>
    </row>
    <row r="372" spans="1:6" x14ac:dyDescent="0.25">
      <c r="A372" s="8"/>
      <c r="B372" t="s">
        <v>184</v>
      </c>
      <c r="C372">
        <v>2</v>
      </c>
      <c r="D372" t="s">
        <v>70</v>
      </c>
      <c r="E372" s="9">
        <v>23000</v>
      </c>
      <c r="F372" s="9">
        <f t="shared" si="4"/>
        <v>46000</v>
      </c>
    </row>
    <row r="373" spans="1:6" x14ac:dyDescent="0.25">
      <c r="A373" s="8"/>
      <c r="B373" t="s">
        <v>184</v>
      </c>
      <c r="C373">
        <v>2</v>
      </c>
      <c r="D373" t="s">
        <v>72</v>
      </c>
      <c r="E373" s="9">
        <v>27000</v>
      </c>
      <c r="F373" s="9">
        <f t="shared" si="4"/>
        <v>54000</v>
      </c>
    </row>
    <row r="374" spans="1:6" x14ac:dyDescent="0.25">
      <c r="A374" s="8"/>
      <c r="B374" t="s">
        <v>193</v>
      </c>
      <c r="C374">
        <v>4</v>
      </c>
      <c r="D374" t="s">
        <v>69</v>
      </c>
      <c r="E374" s="9">
        <v>28000</v>
      </c>
      <c r="F374" s="9">
        <f t="shared" si="4"/>
        <v>112000</v>
      </c>
    </row>
    <row r="375" spans="1:6" x14ac:dyDescent="0.25">
      <c r="A375" s="8"/>
      <c r="B375" t="s">
        <v>45</v>
      </c>
      <c r="C375">
        <v>1</v>
      </c>
      <c r="D375" t="s">
        <v>71</v>
      </c>
      <c r="E375" s="9">
        <v>25000</v>
      </c>
      <c r="F375" s="9">
        <f t="shared" si="4"/>
        <v>25000</v>
      </c>
    </row>
    <row r="376" spans="1:6" x14ac:dyDescent="0.25">
      <c r="A376" s="8"/>
      <c r="B376" t="s">
        <v>101</v>
      </c>
      <c r="C376">
        <v>10</v>
      </c>
      <c r="D376" t="s">
        <v>72</v>
      </c>
      <c r="E376" s="9">
        <v>26000</v>
      </c>
      <c r="F376" s="9">
        <f t="shared" si="4"/>
        <v>260000</v>
      </c>
    </row>
    <row r="377" spans="1:6" x14ac:dyDescent="0.25">
      <c r="A377" s="8"/>
      <c r="B377" t="s">
        <v>130</v>
      </c>
      <c r="C377">
        <v>20</v>
      </c>
      <c r="D377" t="s">
        <v>71</v>
      </c>
      <c r="E377" s="9">
        <v>24000</v>
      </c>
      <c r="F377" s="9">
        <f t="shared" si="4"/>
        <v>480000</v>
      </c>
    </row>
    <row r="378" spans="1:6" x14ac:dyDescent="0.25">
      <c r="A378" s="8"/>
      <c r="B378" t="s">
        <v>116</v>
      </c>
      <c r="C378">
        <v>5</v>
      </c>
      <c r="D378" t="s">
        <v>72</v>
      </c>
      <c r="E378" s="9">
        <v>27000</v>
      </c>
      <c r="F378" s="9">
        <f t="shared" si="4"/>
        <v>135000</v>
      </c>
    </row>
    <row r="379" spans="1:6" x14ac:dyDescent="0.25">
      <c r="A379" s="8"/>
      <c r="B379" t="s">
        <v>42</v>
      </c>
      <c r="C379">
        <v>15</v>
      </c>
      <c r="D379" t="s">
        <v>69</v>
      </c>
      <c r="E379" s="9">
        <v>27000</v>
      </c>
      <c r="F379" s="9">
        <f t="shared" si="4"/>
        <v>405000</v>
      </c>
    </row>
    <row r="380" spans="1:6" x14ac:dyDescent="0.25">
      <c r="A380" s="8"/>
      <c r="B380" t="s">
        <v>107</v>
      </c>
      <c r="C380">
        <v>6</v>
      </c>
      <c r="D380" t="s">
        <v>72</v>
      </c>
      <c r="E380" s="9">
        <v>27000</v>
      </c>
      <c r="F380" s="9">
        <f t="shared" si="4"/>
        <v>162000</v>
      </c>
    </row>
    <row r="381" spans="1:6" x14ac:dyDescent="0.25">
      <c r="A381" s="8"/>
      <c r="B381" t="s">
        <v>39</v>
      </c>
      <c r="C381">
        <v>30</v>
      </c>
      <c r="D381" t="s">
        <v>72</v>
      </c>
      <c r="E381" s="9">
        <v>26000</v>
      </c>
      <c r="F381" s="9">
        <f t="shared" si="4"/>
        <v>780000</v>
      </c>
    </row>
    <row r="382" spans="1:6" x14ac:dyDescent="0.25">
      <c r="A382" s="8"/>
      <c r="B382" t="s">
        <v>39</v>
      </c>
      <c r="C382">
        <v>10</v>
      </c>
      <c r="D382" t="s">
        <v>71</v>
      </c>
      <c r="E382" s="9">
        <v>23000</v>
      </c>
      <c r="F382" s="9">
        <f t="shared" si="4"/>
        <v>230000</v>
      </c>
    </row>
    <row r="383" spans="1:6" x14ac:dyDescent="0.25">
      <c r="A383" s="8"/>
      <c r="B383" t="s">
        <v>52</v>
      </c>
      <c r="C383">
        <v>15</v>
      </c>
      <c r="D383" t="s">
        <v>72</v>
      </c>
      <c r="E383" s="9">
        <v>26000</v>
      </c>
      <c r="F383" s="9">
        <f t="shared" si="4"/>
        <v>390000</v>
      </c>
    </row>
    <row r="384" spans="1:6" x14ac:dyDescent="0.25">
      <c r="A384" s="8"/>
      <c r="B384" t="s">
        <v>52</v>
      </c>
      <c r="C384">
        <v>24</v>
      </c>
      <c r="D384" t="s">
        <v>71</v>
      </c>
      <c r="E384" s="9">
        <v>23000</v>
      </c>
      <c r="F384" s="9">
        <f t="shared" si="4"/>
        <v>552000</v>
      </c>
    </row>
    <row r="385" spans="1:6" x14ac:dyDescent="0.25">
      <c r="A385" s="8"/>
      <c r="B385" t="s">
        <v>64</v>
      </c>
      <c r="C385">
        <v>3</v>
      </c>
      <c r="D385" t="s">
        <v>72</v>
      </c>
      <c r="E385" s="9">
        <v>27000</v>
      </c>
      <c r="F385" s="9">
        <f t="shared" si="4"/>
        <v>81000</v>
      </c>
    </row>
    <row r="386" spans="1:6" x14ac:dyDescent="0.25">
      <c r="A386" s="8"/>
      <c r="B386" t="s">
        <v>188</v>
      </c>
      <c r="C386">
        <v>4</v>
      </c>
      <c r="D386" t="s">
        <v>69</v>
      </c>
      <c r="E386" s="9">
        <v>28000</v>
      </c>
      <c r="F386" s="9">
        <f t="shared" si="4"/>
        <v>112000</v>
      </c>
    </row>
    <row r="387" spans="1:6" x14ac:dyDescent="0.25">
      <c r="A387" s="8"/>
      <c r="B387" t="s">
        <v>188</v>
      </c>
      <c r="C387">
        <v>1</v>
      </c>
      <c r="D387" t="s">
        <v>96</v>
      </c>
      <c r="E387" s="9">
        <v>30000</v>
      </c>
      <c r="F387" s="9">
        <f t="shared" si="4"/>
        <v>30000</v>
      </c>
    </row>
    <row r="388" spans="1:6" x14ac:dyDescent="0.25">
      <c r="A388" s="8"/>
      <c r="B388" t="s">
        <v>45</v>
      </c>
      <c r="C388">
        <v>1</v>
      </c>
      <c r="D388" t="s">
        <v>174</v>
      </c>
      <c r="E388" s="9">
        <v>15000</v>
      </c>
      <c r="F388" s="9">
        <f t="shared" si="4"/>
        <v>15000</v>
      </c>
    </row>
    <row r="389" spans="1:6" x14ac:dyDescent="0.25">
      <c r="A389" s="8">
        <v>45370</v>
      </c>
      <c r="B389" t="s">
        <v>45</v>
      </c>
      <c r="C389">
        <v>6</v>
      </c>
      <c r="D389" t="s">
        <v>70</v>
      </c>
      <c r="E389" s="9">
        <v>20000</v>
      </c>
      <c r="F389" s="9">
        <f t="shared" si="4"/>
        <v>120000</v>
      </c>
    </row>
    <row r="390" spans="1:6" x14ac:dyDescent="0.25">
      <c r="A390" s="8"/>
      <c r="B390" t="s">
        <v>45</v>
      </c>
      <c r="C390">
        <v>3</v>
      </c>
      <c r="D390" t="s">
        <v>174</v>
      </c>
      <c r="E390" s="9">
        <v>15000</v>
      </c>
      <c r="F390" s="9">
        <f t="shared" si="4"/>
        <v>45000</v>
      </c>
    </row>
    <row r="391" spans="1:6" x14ac:dyDescent="0.25">
      <c r="A391" s="8"/>
      <c r="B391" t="s">
        <v>135</v>
      </c>
      <c r="C391">
        <v>3</v>
      </c>
      <c r="D391" t="s">
        <v>69</v>
      </c>
      <c r="E391" s="9">
        <v>28000</v>
      </c>
      <c r="F391" s="9">
        <f t="shared" si="4"/>
        <v>84000</v>
      </c>
    </row>
    <row r="392" spans="1:6" x14ac:dyDescent="0.25">
      <c r="A392" s="8"/>
      <c r="B392" t="s">
        <v>83</v>
      </c>
      <c r="C392">
        <v>40</v>
      </c>
      <c r="D392" t="s">
        <v>72</v>
      </c>
      <c r="E392" s="9">
        <v>27000</v>
      </c>
      <c r="F392" s="9">
        <f t="shared" si="4"/>
        <v>1080000</v>
      </c>
    </row>
    <row r="393" spans="1:6" x14ac:dyDescent="0.25">
      <c r="A393" s="8">
        <v>45371</v>
      </c>
      <c r="B393" t="s">
        <v>119</v>
      </c>
      <c r="C393">
        <v>8</v>
      </c>
      <c r="D393" t="s">
        <v>69</v>
      </c>
      <c r="E393" s="9">
        <v>28000</v>
      </c>
      <c r="F393" s="9">
        <f t="shared" si="4"/>
        <v>224000</v>
      </c>
    </row>
    <row r="394" spans="1:6" x14ac:dyDescent="0.25">
      <c r="A394" s="8"/>
      <c r="B394" t="s">
        <v>82</v>
      </c>
      <c r="C394">
        <v>46</v>
      </c>
      <c r="D394" t="s">
        <v>71</v>
      </c>
      <c r="E394" s="9">
        <v>23000</v>
      </c>
      <c r="F394" s="9">
        <f t="shared" si="4"/>
        <v>1058000</v>
      </c>
    </row>
    <row r="395" spans="1:6" x14ac:dyDescent="0.25">
      <c r="A395" s="8"/>
      <c r="B395" t="s">
        <v>82</v>
      </c>
      <c r="C395">
        <v>18</v>
      </c>
      <c r="D395" t="s">
        <v>72</v>
      </c>
      <c r="E395" s="9">
        <v>27000</v>
      </c>
      <c r="F395" s="9">
        <f t="shared" si="4"/>
        <v>486000</v>
      </c>
    </row>
    <row r="396" spans="1:6" x14ac:dyDescent="0.25">
      <c r="A396" s="8"/>
      <c r="B396" t="s">
        <v>45</v>
      </c>
      <c r="C396">
        <v>1</v>
      </c>
      <c r="D396" t="s">
        <v>96</v>
      </c>
      <c r="E396" s="9">
        <v>30000</v>
      </c>
      <c r="F396" s="9">
        <f t="shared" si="4"/>
        <v>30000</v>
      </c>
    </row>
    <row r="397" spans="1:6" x14ac:dyDescent="0.25">
      <c r="A397" s="8"/>
      <c r="B397" t="s">
        <v>45</v>
      </c>
      <c r="C397">
        <v>3</v>
      </c>
      <c r="D397" t="s">
        <v>70</v>
      </c>
      <c r="E397" s="9">
        <v>20000</v>
      </c>
      <c r="F397" s="9">
        <f t="shared" si="4"/>
        <v>60000</v>
      </c>
    </row>
    <row r="398" spans="1:6" x14ac:dyDescent="0.25">
      <c r="A398" s="8"/>
      <c r="B398" t="s">
        <v>45</v>
      </c>
      <c r="C398">
        <v>1</v>
      </c>
      <c r="D398" t="s">
        <v>174</v>
      </c>
      <c r="E398" s="9">
        <v>15000</v>
      </c>
      <c r="F398" s="9">
        <f t="shared" si="4"/>
        <v>15000</v>
      </c>
    </row>
    <row r="399" spans="1:6" x14ac:dyDescent="0.25">
      <c r="A399" s="8"/>
      <c r="B399" t="s">
        <v>194</v>
      </c>
      <c r="C399">
        <v>3</v>
      </c>
      <c r="D399" t="s">
        <v>72</v>
      </c>
      <c r="E399" s="9">
        <v>27000</v>
      </c>
      <c r="F399" s="9">
        <f t="shared" si="4"/>
        <v>81000</v>
      </c>
    </row>
    <row r="400" spans="1:6" x14ac:dyDescent="0.25">
      <c r="A400" s="8"/>
      <c r="B400" t="s">
        <v>194</v>
      </c>
      <c r="C400">
        <v>1</v>
      </c>
      <c r="D400" t="s">
        <v>71</v>
      </c>
      <c r="E400" s="9">
        <v>25000</v>
      </c>
      <c r="F400" s="9">
        <f t="shared" si="4"/>
        <v>25000</v>
      </c>
    </row>
    <row r="401" spans="1:6" x14ac:dyDescent="0.25">
      <c r="A401" s="8"/>
      <c r="B401" t="s">
        <v>194</v>
      </c>
      <c r="C401">
        <v>2</v>
      </c>
      <c r="D401" t="s">
        <v>70</v>
      </c>
      <c r="E401" s="9">
        <v>20000</v>
      </c>
      <c r="F401" s="9">
        <f t="shared" si="4"/>
        <v>40000</v>
      </c>
    </row>
    <row r="402" spans="1:6" x14ac:dyDescent="0.25">
      <c r="A402" s="8"/>
      <c r="B402" t="s">
        <v>194</v>
      </c>
      <c r="C402">
        <v>1</v>
      </c>
      <c r="D402" t="s">
        <v>174</v>
      </c>
      <c r="E402" s="9">
        <v>15000</v>
      </c>
      <c r="F402" s="9">
        <f t="shared" si="4"/>
        <v>15000</v>
      </c>
    </row>
    <row r="403" spans="1:6" x14ac:dyDescent="0.25">
      <c r="A403" s="8"/>
      <c r="B403" t="s">
        <v>45</v>
      </c>
      <c r="C403">
        <v>1</v>
      </c>
      <c r="D403" t="s">
        <v>71</v>
      </c>
      <c r="E403" s="9">
        <v>25000</v>
      </c>
      <c r="F403" s="9">
        <f t="shared" si="4"/>
        <v>25000</v>
      </c>
    </row>
    <row r="404" spans="1:6" x14ac:dyDescent="0.25">
      <c r="A404" s="8"/>
      <c r="B404" t="s">
        <v>87</v>
      </c>
      <c r="C404">
        <v>2</v>
      </c>
      <c r="D404" t="s">
        <v>69</v>
      </c>
      <c r="E404" s="9">
        <v>27000</v>
      </c>
      <c r="F404" s="9">
        <f t="shared" si="4"/>
        <v>54000</v>
      </c>
    </row>
    <row r="405" spans="1:6" x14ac:dyDescent="0.25">
      <c r="A405" s="8"/>
      <c r="B405" t="s">
        <v>87</v>
      </c>
      <c r="C405">
        <v>6</v>
      </c>
      <c r="D405" t="s">
        <v>71</v>
      </c>
      <c r="E405" s="9">
        <v>25000</v>
      </c>
      <c r="F405" s="9">
        <f t="shared" si="4"/>
        <v>150000</v>
      </c>
    </row>
    <row r="406" spans="1:6" x14ac:dyDescent="0.25">
      <c r="A406" s="8"/>
      <c r="B406" t="s">
        <v>113</v>
      </c>
      <c r="C406">
        <v>4</v>
      </c>
      <c r="D406" t="s">
        <v>69</v>
      </c>
      <c r="E406" s="9">
        <v>30000</v>
      </c>
      <c r="F406" s="9">
        <f t="shared" si="4"/>
        <v>120000</v>
      </c>
    </row>
    <row r="407" spans="1:6" x14ac:dyDescent="0.25">
      <c r="A407" s="8"/>
      <c r="B407" t="s">
        <v>89</v>
      </c>
      <c r="C407">
        <v>10</v>
      </c>
      <c r="D407" t="s">
        <v>72</v>
      </c>
      <c r="E407" s="9">
        <v>26000</v>
      </c>
      <c r="F407" s="9">
        <f t="shared" si="4"/>
        <v>260000</v>
      </c>
    </row>
    <row r="408" spans="1:6" x14ac:dyDescent="0.25">
      <c r="A408" s="8"/>
      <c r="B408" t="s">
        <v>45</v>
      </c>
      <c r="C408">
        <v>3</v>
      </c>
      <c r="D408" t="s">
        <v>72</v>
      </c>
      <c r="E408" s="9">
        <v>27000</v>
      </c>
      <c r="F408" s="9">
        <f t="shared" si="4"/>
        <v>81000</v>
      </c>
    </row>
    <row r="409" spans="1:6" x14ac:dyDescent="0.25">
      <c r="A409" s="8"/>
      <c r="B409" t="s">
        <v>45</v>
      </c>
      <c r="C409">
        <v>1</v>
      </c>
      <c r="D409" t="s">
        <v>96</v>
      </c>
      <c r="E409" s="9">
        <v>30000</v>
      </c>
      <c r="F409" s="9">
        <f t="shared" si="4"/>
        <v>30000</v>
      </c>
    </row>
    <row r="410" spans="1:6" x14ac:dyDescent="0.25">
      <c r="A410" s="8">
        <v>45372</v>
      </c>
      <c r="B410" t="s">
        <v>42</v>
      </c>
      <c r="C410">
        <v>20</v>
      </c>
      <c r="D410" t="s">
        <v>72</v>
      </c>
      <c r="E410" s="9">
        <v>27000</v>
      </c>
      <c r="F410" s="9">
        <f t="shared" si="4"/>
        <v>540000</v>
      </c>
    </row>
    <row r="411" spans="1:6" x14ac:dyDescent="0.25">
      <c r="A411" s="8"/>
      <c r="B411" t="s">
        <v>45</v>
      </c>
      <c r="C411">
        <v>1</v>
      </c>
      <c r="D411" t="s">
        <v>174</v>
      </c>
      <c r="E411" s="9">
        <v>15000</v>
      </c>
      <c r="F411" s="9">
        <f t="shared" si="4"/>
        <v>15000</v>
      </c>
    </row>
    <row r="412" spans="1:6" x14ac:dyDescent="0.25">
      <c r="A412" s="8"/>
      <c r="B412" t="s">
        <v>181</v>
      </c>
      <c r="C412">
        <v>5</v>
      </c>
      <c r="D412" t="s">
        <v>70</v>
      </c>
      <c r="E412" s="9">
        <v>20000</v>
      </c>
      <c r="F412" s="9">
        <f t="shared" si="4"/>
        <v>100000</v>
      </c>
    </row>
    <row r="413" spans="1:6" x14ac:dyDescent="0.25">
      <c r="A413" s="8"/>
      <c r="B413" t="s">
        <v>195</v>
      </c>
      <c r="C413">
        <v>2</v>
      </c>
      <c r="D413" t="s">
        <v>69</v>
      </c>
      <c r="E413" s="9">
        <v>25000</v>
      </c>
      <c r="F413" s="9">
        <f t="shared" ref="F413:F476" si="5">+E413*C413</f>
        <v>50000</v>
      </c>
    </row>
    <row r="414" spans="1:6" x14ac:dyDescent="0.25">
      <c r="A414" s="8"/>
      <c r="B414" t="s">
        <v>179</v>
      </c>
      <c r="C414">
        <v>3</v>
      </c>
      <c r="D414" t="s">
        <v>69</v>
      </c>
      <c r="E414" s="9">
        <v>30000</v>
      </c>
      <c r="F414" s="9">
        <f t="shared" si="5"/>
        <v>90000</v>
      </c>
    </row>
    <row r="415" spans="1:6" x14ac:dyDescent="0.25">
      <c r="A415" s="8">
        <v>45374</v>
      </c>
      <c r="B415" t="s">
        <v>80</v>
      </c>
      <c r="C415">
        <v>15</v>
      </c>
      <c r="D415" t="s">
        <v>72</v>
      </c>
      <c r="E415" s="9">
        <v>27000</v>
      </c>
      <c r="F415" s="9">
        <f t="shared" si="5"/>
        <v>405000</v>
      </c>
    </row>
    <row r="416" spans="1:6" x14ac:dyDescent="0.25">
      <c r="A416" s="8"/>
      <c r="B416" t="s">
        <v>187</v>
      </c>
      <c r="C416">
        <v>4</v>
      </c>
      <c r="D416" t="s">
        <v>72</v>
      </c>
      <c r="E416" s="9">
        <v>27000</v>
      </c>
      <c r="F416" s="9">
        <f t="shared" si="5"/>
        <v>108000</v>
      </c>
    </row>
    <row r="417" spans="1:6" x14ac:dyDescent="0.25">
      <c r="A417" s="8"/>
      <c r="B417" t="s">
        <v>101</v>
      </c>
      <c r="C417">
        <v>12</v>
      </c>
      <c r="D417" t="s">
        <v>69</v>
      </c>
      <c r="E417" s="9">
        <v>27000</v>
      </c>
      <c r="F417" s="9">
        <f t="shared" si="5"/>
        <v>324000</v>
      </c>
    </row>
    <row r="418" spans="1:6" x14ac:dyDescent="0.25">
      <c r="A418" s="8"/>
      <c r="B418" t="s">
        <v>82</v>
      </c>
      <c r="C418">
        <v>35</v>
      </c>
      <c r="D418" t="s">
        <v>72</v>
      </c>
      <c r="E418" s="9">
        <v>27000</v>
      </c>
      <c r="F418" s="9">
        <f t="shared" si="5"/>
        <v>945000</v>
      </c>
    </row>
    <row r="419" spans="1:6" x14ac:dyDescent="0.25">
      <c r="A419" s="8"/>
      <c r="B419" t="s">
        <v>82</v>
      </c>
      <c r="C419">
        <v>36</v>
      </c>
      <c r="D419" t="s">
        <v>71</v>
      </c>
      <c r="E419" s="9">
        <v>23000</v>
      </c>
      <c r="F419" s="9">
        <f t="shared" si="5"/>
        <v>828000</v>
      </c>
    </row>
    <row r="420" spans="1:6" x14ac:dyDescent="0.25">
      <c r="A420" s="8"/>
      <c r="B420" t="s">
        <v>45</v>
      </c>
      <c r="C420">
        <v>10</v>
      </c>
      <c r="D420" t="s">
        <v>71</v>
      </c>
      <c r="E420" s="9">
        <v>25000</v>
      </c>
      <c r="F420" s="9">
        <f t="shared" si="5"/>
        <v>250000</v>
      </c>
    </row>
    <row r="421" spans="1:6" x14ac:dyDescent="0.25">
      <c r="A421" s="8">
        <v>45375</v>
      </c>
      <c r="B421" t="s">
        <v>45</v>
      </c>
      <c r="C421">
        <v>2</v>
      </c>
      <c r="D421" t="s">
        <v>70</v>
      </c>
      <c r="E421" s="9">
        <v>23000</v>
      </c>
      <c r="F421" s="9">
        <f t="shared" si="5"/>
        <v>46000</v>
      </c>
    </row>
    <row r="422" spans="1:6" x14ac:dyDescent="0.25">
      <c r="A422" s="8"/>
      <c r="B422" t="s">
        <v>45</v>
      </c>
      <c r="C422">
        <v>3</v>
      </c>
      <c r="D422" t="s">
        <v>71</v>
      </c>
      <c r="E422" s="9">
        <v>25000</v>
      </c>
      <c r="F422" s="9">
        <f t="shared" si="5"/>
        <v>75000</v>
      </c>
    </row>
    <row r="423" spans="1:6" x14ac:dyDescent="0.25">
      <c r="A423" s="8"/>
      <c r="B423" t="s">
        <v>45</v>
      </c>
      <c r="C423">
        <v>4</v>
      </c>
      <c r="D423" t="s">
        <v>69</v>
      </c>
      <c r="E423" s="9">
        <v>28000</v>
      </c>
      <c r="F423" s="9">
        <f t="shared" si="5"/>
        <v>112000</v>
      </c>
    </row>
    <row r="424" spans="1:6" x14ac:dyDescent="0.25">
      <c r="A424" s="8"/>
      <c r="B424" t="s">
        <v>45</v>
      </c>
      <c r="C424">
        <v>5</v>
      </c>
      <c r="D424" t="s">
        <v>72</v>
      </c>
      <c r="E424" s="9">
        <v>26000</v>
      </c>
      <c r="F424" s="9">
        <f t="shared" si="5"/>
        <v>130000</v>
      </c>
    </row>
    <row r="425" spans="1:6" x14ac:dyDescent="0.25">
      <c r="A425" s="8"/>
      <c r="B425" t="s">
        <v>45</v>
      </c>
      <c r="C425">
        <v>1</v>
      </c>
      <c r="D425" t="s">
        <v>174</v>
      </c>
      <c r="E425" s="9">
        <v>20000</v>
      </c>
      <c r="F425" s="9">
        <f t="shared" si="5"/>
        <v>20000</v>
      </c>
    </row>
    <row r="426" spans="1:6" x14ac:dyDescent="0.25">
      <c r="A426" s="8">
        <v>45376</v>
      </c>
      <c r="B426" t="s">
        <v>184</v>
      </c>
      <c r="C426">
        <v>6</v>
      </c>
      <c r="D426" t="s">
        <v>71</v>
      </c>
      <c r="E426" s="9">
        <v>25000</v>
      </c>
      <c r="F426" s="9">
        <f t="shared" si="5"/>
        <v>150000</v>
      </c>
    </row>
    <row r="427" spans="1:6" x14ac:dyDescent="0.25">
      <c r="A427" s="8"/>
      <c r="B427" t="s">
        <v>184</v>
      </c>
      <c r="C427">
        <v>1</v>
      </c>
      <c r="D427" t="s">
        <v>69</v>
      </c>
      <c r="E427" s="9">
        <v>28000</v>
      </c>
      <c r="F427" s="9">
        <f t="shared" si="5"/>
        <v>28000</v>
      </c>
    </row>
    <row r="428" spans="1:6" x14ac:dyDescent="0.25">
      <c r="A428" s="8"/>
      <c r="B428" t="s">
        <v>80</v>
      </c>
      <c r="C428">
        <v>20</v>
      </c>
      <c r="D428" t="s">
        <v>72</v>
      </c>
      <c r="E428" s="9">
        <v>27000</v>
      </c>
      <c r="F428" s="9">
        <f t="shared" si="5"/>
        <v>540000</v>
      </c>
    </row>
    <row r="429" spans="1:6" x14ac:dyDescent="0.25">
      <c r="A429" s="8"/>
      <c r="B429" t="s">
        <v>98</v>
      </c>
      <c r="C429">
        <v>10</v>
      </c>
      <c r="D429" t="s">
        <v>71</v>
      </c>
      <c r="E429" s="9">
        <v>24000</v>
      </c>
      <c r="F429" s="9">
        <f t="shared" si="5"/>
        <v>240000</v>
      </c>
    </row>
    <row r="430" spans="1:6" x14ac:dyDescent="0.25">
      <c r="A430" s="8"/>
      <c r="B430" t="s">
        <v>124</v>
      </c>
      <c r="C430">
        <v>15</v>
      </c>
      <c r="D430" t="s">
        <v>71</v>
      </c>
      <c r="E430" s="9">
        <v>25000</v>
      </c>
      <c r="F430" s="9">
        <f t="shared" si="5"/>
        <v>375000</v>
      </c>
    </row>
    <row r="431" spans="1:6" x14ac:dyDescent="0.25">
      <c r="A431" s="8"/>
      <c r="B431" t="s">
        <v>82</v>
      </c>
      <c r="C431">
        <v>21</v>
      </c>
      <c r="D431" t="s">
        <v>71</v>
      </c>
      <c r="E431" s="9">
        <v>23000</v>
      </c>
      <c r="F431" s="9">
        <f t="shared" si="5"/>
        <v>483000</v>
      </c>
    </row>
    <row r="432" spans="1:6" x14ac:dyDescent="0.25">
      <c r="A432" s="8"/>
      <c r="B432" t="s">
        <v>82</v>
      </c>
      <c r="C432">
        <v>58</v>
      </c>
      <c r="D432" t="s">
        <v>72</v>
      </c>
      <c r="E432" s="9">
        <v>27000</v>
      </c>
      <c r="F432" s="9">
        <f t="shared" si="5"/>
        <v>1566000</v>
      </c>
    </row>
    <row r="433" spans="1:6" x14ac:dyDescent="0.25">
      <c r="A433" s="8"/>
      <c r="B433" t="s">
        <v>89</v>
      </c>
      <c r="C433">
        <v>10</v>
      </c>
      <c r="D433" t="s">
        <v>72</v>
      </c>
      <c r="E433" s="9">
        <v>26000</v>
      </c>
      <c r="F433" s="9">
        <f t="shared" si="5"/>
        <v>260000</v>
      </c>
    </row>
    <row r="434" spans="1:6" x14ac:dyDescent="0.25">
      <c r="A434" s="8"/>
      <c r="B434" t="s">
        <v>45</v>
      </c>
      <c r="C434">
        <v>1</v>
      </c>
      <c r="D434" t="s">
        <v>96</v>
      </c>
      <c r="E434" s="9">
        <v>30000</v>
      </c>
      <c r="F434" s="9">
        <f t="shared" si="5"/>
        <v>30000</v>
      </c>
    </row>
    <row r="435" spans="1:6" x14ac:dyDescent="0.25">
      <c r="A435" s="8"/>
      <c r="B435" t="s">
        <v>45</v>
      </c>
      <c r="C435">
        <v>7</v>
      </c>
      <c r="D435" t="s">
        <v>72</v>
      </c>
      <c r="E435" s="9">
        <v>27000</v>
      </c>
      <c r="F435" s="9">
        <f t="shared" si="5"/>
        <v>189000</v>
      </c>
    </row>
    <row r="436" spans="1:6" x14ac:dyDescent="0.25">
      <c r="A436" s="8"/>
      <c r="B436" t="s">
        <v>45</v>
      </c>
      <c r="C436">
        <v>3</v>
      </c>
      <c r="D436" t="s">
        <v>70</v>
      </c>
      <c r="E436" s="9">
        <v>23000</v>
      </c>
      <c r="F436" s="9">
        <f t="shared" si="5"/>
        <v>69000</v>
      </c>
    </row>
    <row r="437" spans="1:6" x14ac:dyDescent="0.25">
      <c r="A437" s="8"/>
      <c r="B437" t="s">
        <v>45</v>
      </c>
      <c r="C437">
        <v>2</v>
      </c>
      <c r="D437" t="s">
        <v>69</v>
      </c>
      <c r="E437" s="9">
        <v>28000</v>
      </c>
      <c r="F437" s="9">
        <f t="shared" si="5"/>
        <v>56000</v>
      </c>
    </row>
    <row r="438" spans="1:6" x14ac:dyDescent="0.25">
      <c r="A438" s="8"/>
      <c r="B438" t="s">
        <v>45</v>
      </c>
      <c r="C438">
        <v>3</v>
      </c>
      <c r="D438" t="s">
        <v>71</v>
      </c>
      <c r="E438" s="9">
        <v>25000</v>
      </c>
      <c r="F438" s="9">
        <f t="shared" si="5"/>
        <v>75000</v>
      </c>
    </row>
    <row r="439" spans="1:6" x14ac:dyDescent="0.25">
      <c r="A439" s="8"/>
      <c r="B439" t="s">
        <v>45</v>
      </c>
      <c r="C439">
        <v>1</v>
      </c>
      <c r="D439" t="s">
        <v>174</v>
      </c>
      <c r="E439" s="9">
        <v>20000</v>
      </c>
      <c r="F439" s="9">
        <f t="shared" si="5"/>
        <v>20000</v>
      </c>
    </row>
    <row r="440" spans="1:6" x14ac:dyDescent="0.25">
      <c r="A440" s="8">
        <v>45377</v>
      </c>
      <c r="B440" t="s">
        <v>45</v>
      </c>
      <c r="C440">
        <v>4</v>
      </c>
      <c r="D440" t="s">
        <v>72</v>
      </c>
      <c r="E440" s="9">
        <v>27000</v>
      </c>
      <c r="F440" s="9">
        <f t="shared" si="5"/>
        <v>108000</v>
      </c>
    </row>
    <row r="441" spans="1:6" x14ac:dyDescent="0.25">
      <c r="A441" s="8"/>
      <c r="B441" t="s">
        <v>45</v>
      </c>
      <c r="C441">
        <v>5</v>
      </c>
      <c r="D441" t="s">
        <v>71</v>
      </c>
      <c r="E441" s="9">
        <v>25000</v>
      </c>
      <c r="F441" s="9">
        <f t="shared" si="5"/>
        <v>125000</v>
      </c>
    </row>
    <row r="442" spans="1:6" x14ac:dyDescent="0.25">
      <c r="A442" s="8"/>
      <c r="B442" t="s">
        <v>100</v>
      </c>
      <c r="C442">
        <v>6</v>
      </c>
      <c r="D442" t="s">
        <v>69</v>
      </c>
      <c r="E442" s="9">
        <v>30000</v>
      </c>
      <c r="F442" s="9">
        <f t="shared" si="5"/>
        <v>180000</v>
      </c>
    </row>
    <row r="443" spans="1:6" x14ac:dyDescent="0.25">
      <c r="A443" s="8"/>
      <c r="B443" t="s">
        <v>181</v>
      </c>
      <c r="C443">
        <v>14</v>
      </c>
      <c r="D443" t="s">
        <v>71</v>
      </c>
      <c r="E443" s="9">
        <v>20000</v>
      </c>
      <c r="F443" s="9">
        <f t="shared" si="5"/>
        <v>280000</v>
      </c>
    </row>
    <row r="444" spans="1:6" x14ac:dyDescent="0.25">
      <c r="A444" s="8"/>
      <c r="B444" t="s">
        <v>116</v>
      </c>
      <c r="C444">
        <v>7</v>
      </c>
      <c r="D444" t="s">
        <v>71</v>
      </c>
      <c r="E444" s="9">
        <v>26000</v>
      </c>
      <c r="F444" s="9">
        <f t="shared" si="5"/>
        <v>182000</v>
      </c>
    </row>
    <row r="445" spans="1:6" x14ac:dyDescent="0.25">
      <c r="A445" s="8"/>
      <c r="B445" t="s">
        <v>119</v>
      </c>
      <c r="C445">
        <v>3</v>
      </c>
      <c r="D445" t="s">
        <v>69</v>
      </c>
      <c r="E445" s="9">
        <v>28000</v>
      </c>
      <c r="F445" s="9">
        <f t="shared" si="5"/>
        <v>84000</v>
      </c>
    </row>
    <row r="446" spans="1:6" x14ac:dyDescent="0.25">
      <c r="A446" s="8"/>
      <c r="B446" t="s">
        <v>101</v>
      </c>
      <c r="C446">
        <v>10</v>
      </c>
      <c r="D446" t="s">
        <v>69</v>
      </c>
      <c r="E446" s="9">
        <v>27000</v>
      </c>
      <c r="F446" s="9">
        <f t="shared" si="5"/>
        <v>270000</v>
      </c>
    </row>
    <row r="447" spans="1:6" x14ac:dyDescent="0.25">
      <c r="A447" s="8"/>
      <c r="B447" t="s">
        <v>124</v>
      </c>
      <c r="C447">
        <v>17</v>
      </c>
      <c r="D447" t="s">
        <v>71</v>
      </c>
      <c r="E447" s="9">
        <v>25000</v>
      </c>
      <c r="F447" s="9">
        <f t="shared" si="5"/>
        <v>425000</v>
      </c>
    </row>
    <row r="448" spans="1:6" x14ac:dyDescent="0.25">
      <c r="A448" s="8"/>
      <c r="B448" t="s">
        <v>82</v>
      </c>
      <c r="C448">
        <v>54</v>
      </c>
      <c r="D448" t="s">
        <v>72</v>
      </c>
      <c r="E448" s="9">
        <v>27000</v>
      </c>
      <c r="F448" s="9">
        <f t="shared" si="5"/>
        <v>1458000</v>
      </c>
    </row>
    <row r="449" spans="1:6" x14ac:dyDescent="0.25">
      <c r="A449" s="8"/>
      <c r="B449" t="s">
        <v>196</v>
      </c>
      <c r="C449">
        <v>2</v>
      </c>
      <c r="D449" t="s">
        <v>69</v>
      </c>
      <c r="E449" s="9">
        <v>28000</v>
      </c>
      <c r="F449" s="9">
        <f t="shared" si="5"/>
        <v>56000</v>
      </c>
    </row>
    <row r="450" spans="1:6" x14ac:dyDescent="0.25">
      <c r="A450" s="8"/>
      <c r="B450" t="s">
        <v>102</v>
      </c>
      <c r="C450">
        <v>7</v>
      </c>
      <c r="D450" t="s">
        <v>69</v>
      </c>
      <c r="E450" s="9">
        <v>28000</v>
      </c>
      <c r="F450" s="9">
        <f t="shared" si="5"/>
        <v>196000</v>
      </c>
    </row>
    <row r="451" spans="1:6" x14ac:dyDescent="0.25">
      <c r="A451" s="8"/>
      <c r="B451" t="s">
        <v>187</v>
      </c>
      <c r="C451">
        <v>4</v>
      </c>
      <c r="D451" t="s">
        <v>72</v>
      </c>
      <c r="E451" s="9">
        <v>27000</v>
      </c>
      <c r="F451" s="9">
        <f t="shared" si="5"/>
        <v>108000</v>
      </c>
    </row>
    <row r="452" spans="1:6" x14ac:dyDescent="0.25">
      <c r="A452" s="8"/>
      <c r="B452" t="s">
        <v>45</v>
      </c>
      <c r="C452">
        <v>2</v>
      </c>
      <c r="D452" t="s">
        <v>72</v>
      </c>
      <c r="E452" s="9">
        <v>27000</v>
      </c>
      <c r="F452" s="9">
        <f t="shared" si="5"/>
        <v>54000</v>
      </c>
    </row>
    <row r="453" spans="1:6" x14ac:dyDescent="0.25">
      <c r="A453" s="8"/>
      <c r="B453" t="s">
        <v>45</v>
      </c>
      <c r="C453">
        <v>1</v>
      </c>
      <c r="D453" t="s">
        <v>71</v>
      </c>
      <c r="E453" s="9">
        <v>25000</v>
      </c>
      <c r="F453" s="9">
        <f t="shared" si="5"/>
        <v>25000</v>
      </c>
    </row>
    <row r="454" spans="1:6" x14ac:dyDescent="0.25">
      <c r="A454" s="8">
        <v>45378</v>
      </c>
      <c r="B454" t="s">
        <v>45</v>
      </c>
      <c r="C454">
        <v>7</v>
      </c>
      <c r="D454" t="s">
        <v>69</v>
      </c>
      <c r="E454" s="9">
        <v>28000</v>
      </c>
      <c r="F454" s="9">
        <f t="shared" si="5"/>
        <v>196000</v>
      </c>
    </row>
    <row r="455" spans="1:6" x14ac:dyDescent="0.25">
      <c r="A455" s="8"/>
      <c r="B455" t="s">
        <v>45</v>
      </c>
      <c r="C455">
        <v>12</v>
      </c>
      <c r="D455" t="s">
        <v>71</v>
      </c>
      <c r="E455" s="9">
        <v>25000</v>
      </c>
      <c r="F455" s="9">
        <f t="shared" si="5"/>
        <v>300000</v>
      </c>
    </row>
    <row r="456" spans="1:6" x14ac:dyDescent="0.25">
      <c r="A456" s="8"/>
      <c r="B456" t="s">
        <v>45</v>
      </c>
      <c r="C456">
        <v>1</v>
      </c>
      <c r="D456" t="s">
        <v>96</v>
      </c>
      <c r="E456" s="9">
        <v>30000</v>
      </c>
      <c r="F456" s="9">
        <f t="shared" si="5"/>
        <v>30000</v>
      </c>
    </row>
    <row r="457" spans="1:6" x14ac:dyDescent="0.25">
      <c r="A457" s="8"/>
      <c r="B457" t="s">
        <v>52</v>
      </c>
      <c r="C457">
        <v>25</v>
      </c>
      <c r="D457" t="s">
        <v>72</v>
      </c>
      <c r="E457" s="9">
        <v>28000</v>
      </c>
      <c r="F457" s="9">
        <f t="shared" si="5"/>
        <v>700000</v>
      </c>
    </row>
    <row r="458" spans="1:6" x14ac:dyDescent="0.25">
      <c r="A458" s="8"/>
      <c r="B458" t="s">
        <v>42</v>
      </c>
      <c r="C458">
        <v>13</v>
      </c>
      <c r="D458" t="s">
        <v>69</v>
      </c>
      <c r="E458" s="9">
        <v>27000</v>
      </c>
      <c r="F458" s="9">
        <f t="shared" si="5"/>
        <v>351000</v>
      </c>
    </row>
    <row r="459" spans="1:6" x14ac:dyDescent="0.25">
      <c r="A459" s="8"/>
      <c r="B459" t="s">
        <v>101</v>
      </c>
      <c r="C459">
        <v>4</v>
      </c>
      <c r="D459" t="s">
        <v>69</v>
      </c>
      <c r="E459" s="9">
        <v>27000</v>
      </c>
      <c r="F459" s="9">
        <f t="shared" si="5"/>
        <v>108000</v>
      </c>
    </row>
    <row r="460" spans="1:6" x14ac:dyDescent="0.25">
      <c r="A460" s="8"/>
      <c r="B460" t="s">
        <v>101</v>
      </c>
      <c r="C460">
        <v>10</v>
      </c>
      <c r="D460" t="s">
        <v>72</v>
      </c>
      <c r="E460" s="9">
        <v>26000</v>
      </c>
      <c r="F460" s="9">
        <f t="shared" si="5"/>
        <v>260000</v>
      </c>
    </row>
    <row r="461" spans="1:6" x14ac:dyDescent="0.25">
      <c r="A461" s="8">
        <v>45379</v>
      </c>
      <c r="B461" t="s">
        <v>89</v>
      </c>
      <c r="C461">
        <v>10</v>
      </c>
      <c r="D461" t="s">
        <v>72</v>
      </c>
      <c r="E461" s="9">
        <v>26000</v>
      </c>
      <c r="F461" s="9">
        <f t="shared" si="5"/>
        <v>260000</v>
      </c>
    </row>
    <row r="462" spans="1:6" x14ac:dyDescent="0.25">
      <c r="A462" s="8"/>
      <c r="B462" t="s">
        <v>85</v>
      </c>
      <c r="C462">
        <v>6</v>
      </c>
      <c r="D462" t="s">
        <v>69</v>
      </c>
      <c r="E462" s="9">
        <v>27000</v>
      </c>
      <c r="F462" s="9">
        <f t="shared" si="5"/>
        <v>162000</v>
      </c>
    </row>
    <row r="463" spans="1:6" x14ac:dyDescent="0.25">
      <c r="A463" s="8"/>
      <c r="B463" t="s">
        <v>39</v>
      </c>
      <c r="C463">
        <v>24</v>
      </c>
      <c r="D463" t="s">
        <v>72</v>
      </c>
      <c r="E463" s="9">
        <v>25000</v>
      </c>
      <c r="F463" s="9">
        <f t="shared" si="5"/>
        <v>600000</v>
      </c>
    </row>
    <row r="464" spans="1:6" x14ac:dyDescent="0.25">
      <c r="A464" s="8"/>
      <c r="B464" t="s">
        <v>39</v>
      </c>
      <c r="C464">
        <v>22</v>
      </c>
      <c r="D464" t="s">
        <v>71</v>
      </c>
      <c r="E464" s="9">
        <v>22000</v>
      </c>
      <c r="F464" s="9">
        <f t="shared" si="5"/>
        <v>484000</v>
      </c>
    </row>
    <row r="465" spans="1:13" x14ac:dyDescent="0.25">
      <c r="A465" s="8">
        <v>45381</v>
      </c>
      <c r="B465" t="s">
        <v>184</v>
      </c>
      <c r="C465">
        <v>1</v>
      </c>
      <c r="D465" t="s">
        <v>72</v>
      </c>
      <c r="E465" s="9">
        <v>27000</v>
      </c>
      <c r="F465" s="9">
        <f t="shared" si="5"/>
        <v>27000</v>
      </c>
    </row>
    <row r="466" spans="1:13" x14ac:dyDescent="0.25">
      <c r="A466" s="8"/>
      <c r="B466" t="s">
        <v>184</v>
      </c>
      <c r="C466">
        <v>2</v>
      </c>
      <c r="D466" t="s">
        <v>71</v>
      </c>
      <c r="E466" s="9">
        <v>25000</v>
      </c>
      <c r="F466" s="9">
        <f t="shared" si="5"/>
        <v>50000</v>
      </c>
    </row>
    <row r="467" spans="1:13" x14ac:dyDescent="0.25">
      <c r="A467" s="8"/>
      <c r="B467" t="s">
        <v>135</v>
      </c>
      <c r="C467">
        <v>5</v>
      </c>
      <c r="D467" t="s">
        <v>70</v>
      </c>
      <c r="E467" s="9">
        <v>20000</v>
      </c>
      <c r="F467" s="9">
        <f t="shared" si="5"/>
        <v>100000</v>
      </c>
    </row>
    <row r="468" spans="1:13" x14ac:dyDescent="0.25">
      <c r="A468" s="8"/>
      <c r="B468" t="s">
        <v>45</v>
      </c>
      <c r="C468">
        <v>3</v>
      </c>
      <c r="D468" t="s">
        <v>71</v>
      </c>
      <c r="E468" s="9">
        <v>26000</v>
      </c>
      <c r="F468" s="9">
        <f t="shared" si="5"/>
        <v>78000</v>
      </c>
    </row>
    <row r="469" spans="1:13" x14ac:dyDescent="0.25">
      <c r="A469" s="29">
        <v>45383</v>
      </c>
      <c r="B469" s="30" t="s">
        <v>101</v>
      </c>
      <c r="C469" s="30">
        <v>15</v>
      </c>
      <c r="D469" s="30" t="s">
        <v>69</v>
      </c>
      <c r="E469" s="31">
        <v>25000</v>
      </c>
      <c r="F469" s="31">
        <f t="shared" si="5"/>
        <v>375000</v>
      </c>
      <c r="G469" s="31">
        <f>+SUM(F469:F685)/SUM(C469:C685)</f>
        <v>23934.904601571267</v>
      </c>
      <c r="H469" s="36" t="s">
        <v>139</v>
      </c>
      <c r="I469" s="31">
        <v>26</v>
      </c>
      <c r="J469" s="30"/>
    </row>
    <row r="470" spans="1:13" x14ac:dyDescent="0.25">
      <c r="A470" s="8"/>
      <c r="B470" t="s">
        <v>119</v>
      </c>
      <c r="C470">
        <v>6</v>
      </c>
      <c r="D470" t="s">
        <v>69</v>
      </c>
      <c r="E470" s="9">
        <v>26000</v>
      </c>
      <c r="F470" s="9">
        <f t="shared" si="5"/>
        <v>156000</v>
      </c>
    </row>
    <row r="471" spans="1:13" x14ac:dyDescent="0.25">
      <c r="A471" s="8"/>
      <c r="B471" t="s">
        <v>42</v>
      </c>
      <c r="C471">
        <v>15</v>
      </c>
      <c r="D471" t="s">
        <v>69</v>
      </c>
      <c r="E471" s="9">
        <v>25000</v>
      </c>
      <c r="F471" s="9">
        <f t="shared" si="5"/>
        <v>375000</v>
      </c>
      <c r="H471" s="40" t="s">
        <v>144</v>
      </c>
      <c r="I471" s="40"/>
      <c r="K471" s="40" t="s">
        <v>141</v>
      </c>
      <c r="L471" s="40"/>
    </row>
    <row r="472" spans="1:13" x14ac:dyDescent="0.25">
      <c r="A472" s="8"/>
      <c r="B472" t="s">
        <v>52</v>
      </c>
      <c r="C472">
        <v>20</v>
      </c>
      <c r="D472" t="s">
        <v>72</v>
      </c>
      <c r="E472" s="9">
        <v>25000</v>
      </c>
      <c r="F472" s="9">
        <f t="shared" si="5"/>
        <v>500000</v>
      </c>
      <c r="H472" t="s">
        <v>139</v>
      </c>
      <c r="I472" s="17">
        <f>60/100*10*L472*I469</f>
        <v>1258920</v>
      </c>
      <c r="K472" t="s">
        <v>140</v>
      </c>
      <c r="L472" s="9">
        <v>8070</v>
      </c>
      <c r="M472" t="s">
        <v>146</v>
      </c>
    </row>
    <row r="473" spans="1:13" x14ac:dyDescent="0.25">
      <c r="A473" s="8"/>
      <c r="B473" t="s">
        <v>52</v>
      </c>
      <c r="C473">
        <v>20</v>
      </c>
      <c r="D473" t="s">
        <v>71</v>
      </c>
      <c r="E473" s="9">
        <v>23000</v>
      </c>
      <c r="F473" s="9">
        <f t="shared" si="5"/>
        <v>460000</v>
      </c>
      <c r="H473" t="s">
        <v>48</v>
      </c>
      <c r="I473" s="9">
        <f>+SUM(C469:C681)*L473</f>
        <v>1379560</v>
      </c>
      <c r="K473" t="s">
        <v>48</v>
      </c>
      <c r="L473" s="9">
        <v>520</v>
      </c>
      <c r="M473" t="s">
        <v>147</v>
      </c>
    </row>
    <row r="474" spans="1:13" x14ac:dyDescent="0.25">
      <c r="A474" s="8"/>
      <c r="B474" t="s">
        <v>130</v>
      </c>
      <c r="C474">
        <v>15</v>
      </c>
      <c r="D474" t="s">
        <v>71</v>
      </c>
      <c r="E474" s="9">
        <v>23000</v>
      </c>
      <c r="F474" s="9">
        <f t="shared" si="5"/>
        <v>345000</v>
      </c>
      <c r="H474" t="s">
        <v>142</v>
      </c>
      <c r="I474" s="9">
        <f>+L474*31*(L476+L477)</f>
        <v>25389000</v>
      </c>
      <c r="K474" t="s">
        <v>142</v>
      </c>
      <c r="L474" s="9">
        <v>63000</v>
      </c>
      <c r="M474" t="s">
        <v>148</v>
      </c>
    </row>
    <row r="475" spans="1:13" x14ac:dyDescent="0.25">
      <c r="A475" s="8"/>
      <c r="B475" t="s">
        <v>82</v>
      </c>
      <c r="C475">
        <v>70</v>
      </c>
      <c r="D475" t="s">
        <v>72</v>
      </c>
      <c r="E475" s="9">
        <v>25000</v>
      </c>
      <c r="F475" s="9">
        <f t="shared" si="5"/>
        <v>1750000</v>
      </c>
      <c r="H475" t="s">
        <v>145</v>
      </c>
      <c r="I475" s="9">
        <f>+L475*31</f>
        <v>3144285.7142857146</v>
      </c>
      <c r="K475" t="s">
        <v>143</v>
      </c>
      <c r="L475" s="9">
        <f>500000/7+30000</f>
        <v>101428.57142857143</v>
      </c>
      <c r="M475" t="s">
        <v>149</v>
      </c>
    </row>
    <row r="476" spans="1:13" x14ac:dyDescent="0.25">
      <c r="A476" s="8"/>
      <c r="B476" t="s">
        <v>82</v>
      </c>
      <c r="C476">
        <v>17</v>
      </c>
      <c r="D476" t="s">
        <v>71</v>
      </c>
      <c r="E476" s="9">
        <v>23000</v>
      </c>
      <c r="F476" s="9">
        <f t="shared" si="5"/>
        <v>391000</v>
      </c>
      <c r="H476" t="s">
        <v>150</v>
      </c>
      <c r="I476" s="9">
        <v>15000</v>
      </c>
      <c r="J476" s="27"/>
      <c r="K476" t="s">
        <v>198</v>
      </c>
      <c r="L476" s="39">
        <v>8.5</v>
      </c>
    </row>
    <row r="477" spans="1:13" x14ac:dyDescent="0.25">
      <c r="A477" s="8">
        <v>45384</v>
      </c>
      <c r="B477" t="s">
        <v>87</v>
      </c>
      <c r="C477">
        <v>6</v>
      </c>
      <c r="D477" t="s">
        <v>72</v>
      </c>
      <c r="E477" s="9">
        <v>25000</v>
      </c>
      <c r="F477" s="9">
        <f t="shared" ref="F477:F540" si="6">+E477*C477</f>
        <v>150000</v>
      </c>
      <c r="H477" t="s">
        <v>151</v>
      </c>
      <c r="I477" s="9">
        <v>150000</v>
      </c>
      <c r="K477" t="s">
        <v>199</v>
      </c>
      <c r="L477" s="39">
        <v>4.5</v>
      </c>
    </row>
    <row r="478" spans="1:13" x14ac:dyDescent="0.25">
      <c r="A478" s="8"/>
      <c r="B478" t="s">
        <v>87</v>
      </c>
      <c r="C478">
        <v>2</v>
      </c>
      <c r="D478" t="s">
        <v>69</v>
      </c>
      <c r="E478" s="9">
        <v>26000</v>
      </c>
      <c r="F478" s="9">
        <f t="shared" si="6"/>
        <v>52000</v>
      </c>
      <c r="H478" t="s">
        <v>152</v>
      </c>
      <c r="I478" s="9">
        <f>+SUM(I472:I477)</f>
        <v>31336765.714285716</v>
      </c>
    </row>
    <row r="479" spans="1:13" x14ac:dyDescent="0.25">
      <c r="A479" s="8"/>
      <c r="B479" t="s">
        <v>181</v>
      </c>
      <c r="C479">
        <v>5</v>
      </c>
      <c r="D479" t="s">
        <v>71</v>
      </c>
      <c r="E479" s="9">
        <v>20000</v>
      </c>
      <c r="F479" s="9">
        <f t="shared" si="6"/>
        <v>100000</v>
      </c>
    </row>
    <row r="480" spans="1:13" x14ac:dyDescent="0.25">
      <c r="A480" s="8"/>
      <c r="B480" t="s">
        <v>85</v>
      </c>
      <c r="C480">
        <v>10</v>
      </c>
      <c r="D480" t="s">
        <v>69</v>
      </c>
      <c r="E480" s="9">
        <v>25000</v>
      </c>
      <c r="F480" s="9">
        <f t="shared" si="6"/>
        <v>250000</v>
      </c>
      <c r="H480" t="s">
        <v>153</v>
      </c>
      <c r="I480" s="9">
        <f>+SUM(F469:F681)</f>
        <v>63522000</v>
      </c>
    </row>
    <row r="481" spans="1:9" ht="15.75" thickBot="1" x14ac:dyDescent="0.3">
      <c r="A481" s="8"/>
      <c r="B481" t="s">
        <v>117</v>
      </c>
      <c r="C481">
        <v>4</v>
      </c>
      <c r="D481" t="s">
        <v>69</v>
      </c>
      <c r="E481" s="9">
        <v>25000</v>
      </c>
      <c r="F481" s="9">
        <f t="shared" si="6"/>
        <v>100000</v>
      </c>
    </row>
    <row r="482" spans="1:9" ht="15.75" thickBot="1" x14ac:dyDescent="0.3">
      <c r="A482" s="8"/>
      <c r="B482" t="s">
        <v>52</v>
      </c>
      <c r="C482">
        <v>40</v>
      </c>
      <c r="D482" t="s">
        <v>71</v>
      </c>
      <c r="E482" s="9">
        <v>23000</v>
      </c>
      <c r="F482" s="9">
        <f t="shared" si="6"/>
        <v>920000</v>
      </c>
      <c r="H482" s="34" t="s">
        <v>154</v>
      </c>
      <c r="I482" s="35">
        <f>+I480-I478</f>
        <v>32185234.285714284</v>
      </c>
    </row>
    <row r="483" spans="1:9" x14ac:dyDescent="0.25">
      <c r="A483" s="8"/>
      <c r="B483" t="s">
        <v>52</v>
      </c>
      <c r="C483">
        <v>20</v>
      </c>
      <c r="D483" t="s">
        <v>72</v>
      </c>
      <c r="E483" s="9">
        <v>25000</v>
      </c>
      <c r="F483" s="9">
        <f t="shared" si="6"/>
        <v>500000</v>
      </c>
    </row>
    <row r="484" spans="1:9" x14ac:dyDescent="0.25">
      <c r="A484" s="8"/>
      <c r="B484" t="s">
        <v>177</v>
      </c>
      <c r="C484">
        <v>5</v>
      </c>
      <c r="D484" t="s">
        <v>72</v>
      </c>
      <c r="E484" s="9">
        <v>25000</v>
      </c>
      <c r="F484" s="9">
        <f t="shared" si="6"/>
        <v>125000</v>
      </c>
    </row>
    <row r="485" spans="1:9" x14ac:dyDescent="0.25">
      <c r="A485" s="8"/>
      <c r="B485" t="s">
        <v>177</v>
      </c>
      <c r="C485">
        <v>5</v>
      </c>
      <c r="D485" t="s">
        <v>71</v>
      </c>
      <c r="E485" s="9">
        <v>23000</v>
      </c>
      <c r="F485" s="9">
        <f t="shared" si="6"/>
        <v>115000</v>
      </c>
    </row>
    <row r="486" spans="1:9" x14ac:dyDescent="0.25">
      <c r="A486" s="8"/>
      <c r="B486" t="s">
        <v>98</v>
      </c>
      <c r="C486">
        <v>10</v>
      </c>
      <c r="D486" t="s">
        <v>71</v>
      </c>
      <c r="E486" s="9">
        <v>23000</v>
      </c>
      <c r="F486" s="9">
        <f t="shared" si="6"/>
        <v>230000</v>
      </c>
    </row>
    <row r="487" spans="1:9" x14ac:dyDescent="0.25">
      <c r="A487" s="8"/>
      <c r="B487" t="s">
        <v>116</v>
      </c>
      <c r="C487">
        <v>5</v>
      </c>
      <c r="D487" t="s">
        <v>72</v>
      </c>
      <c r="E487" s="9">
        <v>25000</v>
      </c>
      <c r="F487" s="9">
        <f t="shared" si="6"/>
        <v>125000</v>
      </c>
    </row>
    <row r="488" spans="1:9" x14ac:dyDescent="0.25">
      <c r="A488" s="8"/>
      <c r="B488" t="s">
        <v>189</v>
      </c>
      <c r="C488">
        <v>10</v>
      </c>
      <c r="D488" t="s">
        <v>71</v>
      </c>
      <c r="E488" s="9">
        <v>23000</v>
      </c>
      <c r="F488" s="9">
        <f t="shared" si="6"/>
        <v>230000</v>
      </c>
    </row>
    <row r="489" spans="1:9" x14ac:dyDescent="0.25">
      <c r="A489" s="8"/>
      <c r="B489" t="s">
        <v>189</v>
      </c>
      <c r="C489">
        <v>10</v>
      </c>
      <c r="D489" t="s">
        <v>72</v>
      </c>
      <c r="E489" s="9">
        <v>25000</v>
      </c>
      <c r="F489" s="9">
        <f t="shared" si="6"/>
        <v>250000</v>
      </c>
    </row>
    <row r="490" spans="1:9" x14ac:dyDescent="0.25">
      <c r="A490" s="8">
        <v>45385</v>
      </c>
      <c r="B490" t="s">
        <v>39</v>
      </c>
      <c r="C490">
        <v>20</v>
      </c>
      <c r="D490" t="s">
        <v>72</v>
      </c>
      <c r="E490" s="9">
        <v>25000</v>
      </c>
      <c r="F490" s="9">
        <f t="shared" si="6"/>
        <v>500000</v>
      </c>
    </row>
    <row r="491" spans="1:9" x14ac:dyDescent="0.25">
      <c r="A491" s="8"/>
      <c r="B491" t="s">
        <v>39</v>
      </c>
      <c r="C491">
        <v>15</v>
      </c>
      <c r="D491" t="s">
        <v>71</v>
      </c>
      <c r="E491" s="9">
        <v>22000</v>
      </c>
      <c r="F491" s="9">
        <f t="shared" si="6"/>
        <v>330000</v>
      </c>
    </row>
    <row r="492" spans="1:9" x14ac:dyDescent="0.25">
      <c r="A492" s="8"/>
      <c r="B492" t="s">
        <v>52</v>
      </c>
      <c r="C492">
        <v>20</v>
      </c>
      <c r="D492" t="s">
        <v>71</v>
      </c>
      <c r="E492" s="9">
        <v>23000</v>
      </c>
      <c r="F492" s="9">
        <f t="shared" si="6"/>
        <v>460000</v>
      </c>
    </row>
    <row r="493" spans="1:9" x14ac:dyDescent="0.25">
      <c r="A493" s="8"/>
      <c r="B493" t="s">
        <v>52</v>
      </c>
      <c r="C493">
        <v>40</v>
      </c>
      <c r="D493" t="s">
        <v>72</v>
      </c>
      <c r="E493" s="9">
        <v>25000</v>
      </c>
      <c r="F493" s="9">
        <f t="shared" si="6"/>
        <v>1000000</v>
      </c>
    </row>
    <row r="494" spans="1:9" x14ac:dyDescent="0.25">
      <c r="A494" s="8"/>
      <c r="B494" t="s">
        <v>52</v>
      </c>
      <c r="C494">
        <v>10</v>
      </c>
      <c r="D494" t="s">
        <v>69</v>
      </c>
      <c r="E494" s="9">
        <v>26000</v>
      </c>
      <c r="F494" s="9">
        <f t="shared" si="6"/>
        <v>260000</v>
      </c>
    </row>
    <row r="495" spans="1:9" x14ac:dyDescent="0.25">
      <c r="A495" s="8"/>
      <c r="B495" t="s">
        <v>82</v>
      </c>
      <c r="C495">
        <v>50</v>
      </c>
      <c r="D495" t="s">
        <v>72</v>
      </c>
      <c r="E495" s="9">
        <v>25000</v>
      </c>
      <c r="F495" s="9">
        <f t="shared" si="6"/>
        <v>1250000</v>
      </c>
    </row>
    <row r="496" spans="1:9" x14ac:dyDescent="0.25">
      <c r="A496" s="8"/>
      <c r="B496" t="s">
        <v>42</v>
      </c>
      <c r="C496">
        <v>15</v>
      </c>
      <c r="D496" t="s">
        <v>69</v>
      </c>
      <c r="E496" s="9">
        <v>25000</v>
      </c>
      <c r="F496" s="9">
        <f t="shared" si="6"/>
        <v>375000</v>
      </c>
    </row>
    <row r="497" spans="1:6" x14ac:dyDescent="0.25">
      <c r="A497" s="8">
        <v>45387</v>
      </c>
      <c r="B497" t="s">
        <v>89</v>
      </c>
      <c r="C497">
        <v>10</v>
      </c>
      <c r="D497" t="s">
        <v>72</v>
      </c>
      <c r="E497" s="9">
        <v>25000</v>
      </c>
      <c r="F497" s="9">
        <f t="shared" si="6"/>
        <v>250000</v>
      </c>
    </row>
    <row r="498" spans="1:6" x14ac:dyDescent="0.25">
      <c r="A498" s="8"/>
      <c r="B498" t="s">
        <v>101</v>
      </c>
      <c r="C498">
        <v>12</v>
      </c>
      <c r="D498" t="s">
        <v>69</v>
      </c>
      <c r="E498" s="9">
        <v>25000</v>
      </c>
      <c r="F498" s="9">
        <f t="shared" si="6"/>
        <v>300000</v>
      </c>
    </row>
    <row r="499" spans="1:6" x14ac:dyDescent="0.25">
      <c r="A499" s="8"/>
      <c r="B499" t="s">
        <v>52</v>
      </c>
      <c r="C499">
        <v>30</v>
      </c>
      <c r="D499" t="s">
        <v>71</v>
      </c>
      <c r="E499" s="9">
        <v>23000</v>
      </c>
      <c r="F499" s="9">
        <f t="shared" si="6"/>
        <v>690000</v>
      </c>
    </row>
    <row r="500" spans="1:6" x14ac:dyDescent="0.25">
      <c r="A500" s="8"/>
      <c r="B500" t="s">
        <v>52</v>
      </c>
      <c r="C500">
        <v>20</v>
      </c>
      <c r="D500" t="s">
        <v>72</v>
      </c>
      <c r="E500" s="9">
        <v>25000</v>
      </c>
      <c r="F500" s="9">
        <f t="shared" si="6"/>
        <v>500000</v>
      </c>
    </row>
    <row r="501" spans="1:6" x14ac:dyDescent="0.25">
      <c r="A501" s="8"/>
      <c r="B501" t="s">
        <v>52</v>
      </c>
      <c r="C501">
        <v>15</v>
      </c>
      <c r="D501" t="s">
        <v>69</v>
      </c>
      <c r="E501" s="9">
        <v>26000</v>
      </c>
      <c r="F501" s="9">
        <f t="shared" si="6"/>
        <v>390000</v>
      </c>
    </row>
    <row r="502" spans="1:6" x14ac:dyDescent="0.25">
      <c r="A502" s="8"/>
      <c r="B502" t="s">
        <v>82</v>
      </c>
      <c r="C502">
        <v>50</v>
      </c>
      <c r="D502" t="s">
        <v>72</v>
      </c>
      <c r="E502" s="9">
        <v>25000</v>
      </c>
      <c r="F502" s="9">
        <f t="shared" si="6"/>
        <v>1250000</v>
      </c>
    </row>
    <row r="503" spans="1:6" x14ac:dyDescent="0.25">
      <c r="A503" s="8"/>
      <c r="B503" t="s">
        <v>187</v>
      </c>
      <c r="C503">
        <v>4</v>
      </c>
      <c r="D503" t="s">
        <v>71</v>
      </c>
      <c r="E503" s="9">
        <v>25000</v>
      </c>
      <c r="F503" s="9">
        <f t="shared" si="6"/>
        <v>100000</v>
      </c>
    </row>
    <row r="504" spans="1:6" x14ac:dyDescent="0.25">
      <c r="A504" s="8"/>
      <c r="B504" t="s">
        <v>135</v>
      </c>
      <c r="C504">
        <v>4</v>
      </c>
      <c r="D504" t="s">
        <v>71</v>
      </c>
      <c r="E504" s="9">
        <v>24000</v>
      </c>
      <c r="F504" s="9">
        <f t="shared" si="6"/>
        <v>96000</v>
      </c>
    </row>
    <row r="505" spans="1:6" x14ac:dyDescent="0.25">
      <c r="A505" s="8"/>
      <c r="B505" t="s">
        <v>45</v>
      </c>
      <c r="C505">
        <v>1</v>
      </c>
      <c r="E505" s="9">
        <v>35000</v>
      </c>
      <c r="F505" s="9">
        <f t="shared" si="6"/>
        <v>35000</v>
      </c>
    </row>
    <row r="506" spans="1:6" x14ac:dyDescent="0.25">
      <c r="A506" s="8">
        <v>45388</v>
      </c>
      <c r="B506" t="s">
        <v>181</v>
      </c>
      <c r="C506">
        <v>6</v>
      </c>
      <c r="D506" t="s">
        <v>70</v>
      </c>
      <c r="E506" s="9">
        <v>20000</v>
      </c>
      <c r="F506" s="9">
        <f t="shared" si="6"/>
        <v>120000</v>
      </c>
    </row>
    <row r="507" spans="1:6" x14ac:dyDescent="0.25">
      <c r="A507" s="8"/>
      <c r="B507" t="s">
        <v>42</v>
      </c>
      <c r="C507">
        <v>10</v>
      </c>
      <c r="D507" t="s">
        <v>69</v>
      </c>
      <c r="E507" s="9">
        <v>25000</v>
      </c>
      <c r="F507" s="9">
        <f t="shared" si="6"/>
        <v>250000</v>
      </c>
    </row>
    <row r="508" spans="1:6" x14ac:dyDescent="0.25">
      <c r="A508" s="8"/>
      <c r="B508" t="s">
        <v>52</v>
      </c>
      <c r="C508">
        <v>22</v>
      </c>
      <c r="D508" t="s">
        <v>71</v>
      </c>
      <c r="E508" s="9">
        <v>23000</v>
      </c>
      <c r="F508" s="9">
        <f t="shared" si="6"/>
        <v>506000</v>
      </c>
    </row>
    <row r="509" spans="1:6" x14ac:dyDescent="0.25">
      <c r="A509" s="8"/>
      <c r="B509" t="s">
        <v>52</v>
      </c>
      <c r="C509">
        <v>17</v>
      </c>
      <c r="D509" t="s">
        <v>69</v>
      </c>
      <c r="E509" s="9">
        <v>26000</v>
      </c>
      <c r="F509" s="9">
        <f t="shared" si="6"/>
        <v>442000</v>
      </c>
    </row>
    <row r="510" spans="1:6" x14ac:dyDescent="0.25">
      <c r="A510" s="8"/>
      <c r="B510" t="s">
        <v>52</v>
      </c>
      <c r="C510">
        <v>10</v>
      </c>
      <c r="D510" t="s">
        <v>72</v>
      </c>
      <c r="E510" s="9">
        <v>25000</v>
      </c>
      <c r="F510" s="9">
        <f t="shared" si="6"/>
        <v>250000</v>
      </c>
    </row>
    <row r="511" spans="1:6" x14ac:dyDescent="0.25">
      <c r="A511" s="8"/>
      <c r="B511" t="s">
        <v>130</v>
      </c>
      <c r="C511">
        <v>10</v>
      </c>
      <c r="D511" t="s">
        <v>71</v>
      </c>
      <c r="E511" s="9">
        <v>23000</v>
      </c>
      <c r="F511" s="9">
        <f t="shared" si="6"/>
        <v>230000</v>
      </c>
    </row>
    <row r="512" spans="1:6" x14ac:dyDescent="0.25">
      <c r="A512" s="8"/>
      <c r="B512" t="s">
        <v>64</v>
      </c>
      <c r="C512">
        <v>3</v>
      </c>
      <c r="D512" t="s">
        <v>72</v>
      </c>
      <c r="E512" s="9">
        <v>25000</v>
      </c>
      <c r="F512" s="9">
        <f t="shared" si="6"/>
        <v>75000</v>
      </c>
    </row>
    <row r="513" spans="1:6" x14ac:dyDescent="0.25">
      <c r="A513" s="8"/>
      <c r="B513" t="s">
        <v>184</v>
      </c>
      <c r="C513">
        <v>2</v>
      </c>
      <c r="D513" t="s">
        <v>70</v>
      </c>
      <c r="E513" s="9">
        <v>23000</v>
      </c>
      <c r="F513" s="9">
        <f t="shared" si="6"/>
        <v>46000</v>
      </c>
    </row>
    <row r="514" spans="1:6" x14ac:dyDescent="0.25">
      <c r="A514" s="8"/>
      <c r="B514" t="s">
        <v>184</v>
      </c>
      <c r="C514">
        <v>1</v>
      </c>
      <c r="D514" t="s">
        <v>72</v>
      </c>
      <c r="E514" s="9">
        <v>27000</v>
      </c>
      <c r="F514" s="9">
        <f t="shared" si="6"/>
        <v>27000</v>
      </c>
    </row>
    <row r="515" spans="1:6" x14ac:dyDescent="0.25">
      <c r="A515" s="8">
        <v>45389</v>
      </c>
      <c r="B515" t="s">
        <v>45</v>
      </c>
      <c r="C515">
        <v>4</v>
      </c>
      <c r="D515" t="s">
        <v>72</v>
      </c>
      <c r="E515" s="9">
        <v>25000</v>
      </c>
      <c r="F515" s="9">
        <f t="shared" si="6"/>
        <v>100000</v>
      </c>
    </row>
    <row r="516" spans="1:6" x14ac:dyDescent="0.25">
      <c r="A516" s="8"/>
      <c r="B516" t="s">
        <v>39</v>
      </c>
      <c r="C516">
        <v>25</v>
      </c>
      <c r="D516" t="s">
        <v>72</v>
      </c>
      <c r="E516" s="9">
        <v>24000</v>
      </c>
      <c r="F516" s="9">
        <f t="shared" si="6"/>
        <v>600000</v>
      </c>
    </row>
    <row r="517" spans="1:6" x14ac:dyDescent="0.25">
      <c r="A517" s="8"/>
      <c r="B517" t="s">
        <v>39</v>
      </c>
      <c r="C517">
        <v>5</v>
      </c>
      <c r="D517" t="s">
        <v>71</v>
      </c>
      <c r="E517" s="9">
        <v>22000</v>
      </c>
      <c r="F517" s="9">
        <f t="shared" si="6"/>
        <v>110000</v>
      </c>
    </row>
    <row r="518" spans="1:6" x14ac:dyDescent="0.25">
      <c r="A518" s="8">
        <v>45390</v>
      </c>
      <c r="B518" t="s">
        <v>117</v>
      </c>
      <c r="C518">
        <v>11</v>
      </c>
      <c r="D518" t="s">
        <v>72</v>
      </c>
      <c r="E518" s="9">
        <v>25000</v>
      </c>
      <c r="F518" s="9">
        <f t="shared" si="6"/>
        <v>275000</v>
      </c>
    </row>
    <row r="519" spans="1:6" x14ac:dyDescent="0.25">
      <c r="A519" s="8"/>
      <c r="B519" t="s">
        <v>80</v>
      </c>
      <c r="C519">
        <v>15</v>
      </c>
      <c r="D519" t="s">
        <v>72</v>
      </c>
      <c r="E519" s="9">
        <v>26000</v>
      </c>
      <c r="F519" s="9">
        <f t="shared" si="6"/>
        <v>390000</v>
      </c>
    </row>
    <row r="520" spans="1:6" x14ac:dyDescent="0.25">
      <c r="A520" s="8"/>
      <c r="B520" t="s">
        <v>112</v>
      </c>
      <c r="C520">
        <v>1</v>
      </c>
      <c r="D520" t="s">
        <v>69</v>
      </c>
      <c r="E520" s="9">
        <v>28000</v>
      </c>
      <c r="F520" s="9">
        <f t="shared" si="6"/>
        <v>28000</v>
      </c>
    </row>
    <row r="521" spans="1:6" x14ac:dyDescent="0.25">
      <c r="A521" s="8"/>
      <c r="B521" t="s">
        <v>181</v>
      </c>
      <c r="C521">
        <v>5</v>
      </c>
      <c r="D521" t="s">
        <v>70</v>
      </c>
      <c r="E521" s="9">
        <v>20000</v>
      </c>
      <c r="F521" s="9">
        <f t="shared" si="6"/>
        <v>100000</v>
      </c>
    </row>
    <row r="522" spans="1:6" x14ac:dyDescent="0.25">
      <c r="A522" s="8"/>
      <c r="B522" t="s">
        <v>52</v>
      </c>
      <c r="C522">
        <v>28</v>
      </c>
      <c r="D522" t="s">
        <v>71</v>
      </c>
      <c r="E522" s="9">
        <v>23000</v>
      </c>
      <c r="F522" s="9">
        <f t="shared" si="6"/>
        <v>644000</v>
      </c>
    </row>
    <row r="523" spans="1:6" x14ac:dyDescent="0.25">
      <c r="A523" s="8"/>
      <c r="B523" t="s">
        <v>119</v>
      </c>
      <c r="C523">
        <v>7</v>
      </c>
      <c r="D523" t="s">
        <v>69</v>
      </c>
      <c r="E523" s="9">
        <v>26000</v>
      </c>
      <c r="F523" s="9">
        <f t="shared" si="6"/>
        <v>182000</v>
      </c>
    </row>
    <row r="524" spans="1:6" x14ac:dyDescent="0.25">
      <c r="A524" s="8"/>
      <c r="B524" t="s">
        <v>197</v>
      </c>
      <c r="C524">
        <v>10</v>
      </c>
      <c r="D524" t="s">
        <v>71</v>
      </c>
      <c r="E524" s="9">
        <v>23000</v>
      </c>
      <c r="F524" s="9">
        <f t="shared" si="6"/>
        <v>230000</v>
      </c>
    </row>
    <row r="525" spans="1:6" x14ac:dyDescent="0.25">
      <c r="A525" s="8"/>
      <c r="B525" t="s">
        <v>45</v>
      </c>
      <c r="C525">
        <v>1</v>
      </c>
      <c r="D525" t="s">
        <v>69</v>
      </c>
      <c r="E525" s="9">
        <v>27000</v>
      </c>
      <c r="F525" s="9">
        <f t="shared" si="6"/>
        <v>27000</v>
      </c>
    </row>
    <row r="526" spans="1:6" x14ac:dyDescent="0.25">
      <c r="A526" s="8"/>
      <c r="B526" t="s">
        <v>42</v>
      </c>
      <c r="C526">
        <v>15</v>
      </c>
      <c r="D526" t="s">
        <v>69</v>
      </c>
      <c r="E526" s="9">
        <v>25000</v>
      </c>
      <c r="F526" s="9">
        <f t="shared" si="6"/>
        <v>375000</v>
      </c>
    </row>
    <row r="527" spans="1:6" x14ac:dyDescent="0.25">
      <c r="A527" s="8"/>
      <c r="B527" t="s">
        <v>194</v>
      </c>
      <c r="C527">
        <v>3</v>
      </c>
      <c r="D527" t="s">
        <v>72</v>
      </c>
      <c r="E527" s="9">
        <v>25000</v>
      </c>
      <c r="F527" s="9">
        <f t="shared" si="6"/>
        <v>75000</v>
      </c>
    </row>
    <row r="528" spans="1:6" x14ac:dyDescent="0.25">
      <c r="A528" s="8"/>
      <c r="B528" t="s">
        <v>194</v>
      </c>
      <c r="C528">
        <v>3</v>
      </c>
      <c r="D528" t="s">
        <v>174</v>
      </c>
      <c r="E528" s="9">
        <v>15000</v>
      </c>
      <c r="F528" s="9">
        <f t="shared" si="6"/>
        <v>45000</v>
      </c>
    </row>
    <row r="529" spans="1:6" x14ac:dyDescent="0.25">
      <c r="A529" s="8"/>
      <c r="B529" t="s">
        <v>45</v>
      </c>
      <c r="C529">
        <v>2</v>
      </c>
      <c r="D529" t="s">
        <v>96</v>
      </c>
      <c r="E529" s="9">
        <v>28000</v>
      </c>
      <c r="F529" s="9">
        <f t="shared" si="6"/>
        <v>56000</v>
      </c>
    </row>
    <row r="530" spans="1:6" x14ac:dyDescent="0.25">
      <c r="A530" s="8"/>
      <c r="B530" t="s">
        <v>45</v>
      </c>
      <c r="C530">
        <v>1</v>
      </c>
      <c r="D530" t="s">
        <v>174</v>
      </c>
      <c r="E530" s="9">
        <v>15000</v>
      </c>
      <c r="F530" s="9">
        <f t="shared" si="6"/>
        <v>15000</v>
      </c>
    </row>
    <row r="531" spans="1:6" x14ac:dyDescent="0.25">
      <c r="A531" s="8"/>
      <c r="B531" t="s">
        <v>85</v>
      </c>
      <c r="C531">
        <v>10</v>
      </c>
      <c r="D531" t="s">
        <v>69</v>
      </c>
      <c r="E531" s="9">
        <v>25000</v>
      </c>
      <c r="F531" s="9">
        <f t="shared" si="6"/>
        <v>250000</v>
      </c>
    </row>
    <row r="532" spans="1:6" x14ac:dyDescent="0.25">
      <c r="A532" s="8">
        <v>45391</v>
      </c>
      <c r="B532" t="s">
        <v>39</v>
      </c>
      <c r="C532">
        <v>30</v>
      </c>
      <c r="D532" t="s">
        <v>72</v>
      </c>
      <c r="E532" s="9">
        <v>24000</v>
      </c>
      <c r="F532" s="9">
        <f t="shared" si="6"/>
        <v>720000</v>
      </c>
    </row>
    <row r="533" spans="1:6" x14ac:dyDescent="0.25">
      <c r="A533" s="8"/>
      <c r="B533" t="s">
        <v>39</v>
      </c>
      <c r="C533">
        <v>21</v>
      </c>
      <c r="D533" t="s">
        <v>71</v>
      </c>
      <c r="E533" s="9">
        <v>22000</v>
      </c>
      <c r="F533" s="9">
        <f t="shared" si="6"/>
        <v>462000</v>
      </c>
    </row>
    <row r="534" spans="1:6" x14ac:dyDescent="0.25">
      <c r="A534" s="8"/>
      <c r="B534" t="s">
        <v>45</v>
      </c>
      <c r="C534">
        <v>1</v>
      </c>
      <c r="D534" t="s">
        <v>174</v>
      </c>
      <c r="E534" s="9">
        <v>15000</v>
      </c>
      <c r="F534" s="9">
        <f t="shared" si="6"/>
        <v>15000</v>
      </c>
    </row>
    <row r="535" spans="1:6" x14ac:dyDescent="0.25">
      <c r="A535" s="8"/>
      <c r="B535" t="s">
        <v>45</v>
      </c>
      <c r="C535">
        <v>1</v>
      </c>
      <c r="D535" t="s">
        <v>96</v>
      </c>
      <c r="E535" s="9">
        <v>28000</v>
      </c>
      <c r="F535" s="9">
        <f t="shared" si="6"/>
        <v>28000</v>
      </c>
    </row>
    <row r="536" spans="1:6" x14ac:dyDescent="0.25">
      <c r="A536" s="8">
        <v>45392</v>
      </c>
      <c r="B536" t="s">
        <v>42</v>
      </c>
      <c r="C536">
        <v>10</v>
      </c>
      <c r="D536" t="s">
        <v>69</v>
      </c>
      <c r="E536" s="9">
        <v>25000</v>
      </c>
      <c r="F536" s="9">
        <f t="shared" si="6"/>
        <v>250000</v>
      </c>
    </row>
    <row r="537" spans="1:6" x14ac:dyDescent="0.25">
      <c r="A537" s="8"/>
      <c r="B537" t="s">
        <v>52</v>
      </c>
      <c r="C537">
        <v>34</v>
      </c>
      <c r="D537" t="s">
        <v>71</v>
      </c>
      <c r="E537" s="9">
        <v>23000</v>
      </c>
      <c r="F537" s="9">
        <f t="shared" si="6"/>
        <v>782000</v>
      </c>
    </row>
    <row r="538" spans="1:6" x14ac:dyDescent="0.25">
      <c r="A538" s="8"/>
      <c r="B538" t="s">
        <v>82</v>
      </c>
      <c r="C538">
        <v>96</v>
      </c>
      <c r="D538" t="s">
        <v>72</v>
      </c>
      <c r="E538" s="9">
        <v>24000</v>
      </c>
      <c r="F538" s="9">
        <f t="shared" si="6"/>
        <v>2304000</v>
      </c>
    </row>
    <row r="539" spans="1:6" x14ac:dyDescent="0.25">
      <c r="A539" s="8"/>
      <c r="B539" t="s">
        <v>117</v>
      </c>
      <c r="C539">
        <v>5</v>
      </c>
      <c r="D539" t="s">
        <v>69</v>
      </c>
      <c r="E539" s="9">
        <v>26000</v>
      </c>
      <c r="F539" s="9">
        <f t="shared" si="6"/>
        <v>130000</v>
      </c>
    </row>
    <row r="540" spans="1:6" x14ac:dyDescent="0.25">
      <c r="A540" s="8"/>
      <c r="B540" t="s">
        <v>74</v>
      </c>
      <c r="C540">
        <v>4</v>
      </c>
      <c r="D540" t="s">
        <v>69</v>
      </c>
      <c r="E540" s="9">
        <v>25000</v>
      </c>
      <c r="F540" s="9">
        <f t="shared" si="6"/>
        <v>100000</v>
      </c>
    </row>
    <row r="541" spans="1:6" x14ac:dyDescent="0.25">
      <c r="A541" s="8"/>
      <c r="B541" t="s">
        <v>45</v>
      </c>
      <c r="C541">
        <v>1</v>
      </c>
      <c r="D541" t="s">
        <v>96</v>
      </c>
      <c r="E541" s="9">
        <v>28000</v>
      </c>
      <c r="F541" s="9">
        <f t="shared" ref="F541:F604" si="7">+E541*C541</f>
        <v>28000</v>
      </c>
    </row>
    <row r="542" spans="1:6" x14ac:dyDescent="0.25">
      <c r="A542" s="8"/>
      <c r="B542" t="s">
        <v>45</v>
      </c>
      <c r="C542">
        <v>1</v>
      </c>
      <c r="D542" t="s">
        <v>72</v>
      </c>
      <c r="E542" s="9">
        <v>25000</v>
      </c>
      <c r="F542" s="9">
        <f t="shared" si="7"/>
        <v>25000</v>
      </c>
    </row>
    <row r="543" spans="1:6" x14ac:dyDescent="0.25">
      <c r="A543" s="8"/>
      <c r="B543" t="s">
        <v>45</v>
      </c>
      <c r="C543">
        <v>1</v>
      </c>
      <c r="D543" t="s">
        <v>174</v>
      </c>
      <c r="E543" s="9">
        <v>15000</v>
      </c>
      <c r="F543" s="9">
        <f t="shared" si="7"/>
        <v>15000</v>
      </c>
    </row>
    <row r="544" spans="1:6" x14ac:dyDescent="0.25">
      <c r="A544" s="8"/>
      <c r="B544" t="s">
        <v>45</v>
      </c>
      <c r="C544">
        <v>3</v>
      </c>
      <c r="D544" t="s">
        <v>72</v>
      </c>
      <c r="E544" s="9">
        <v>25000</v>
      </c>
      <c r="F544" s="9">
        <f t="shared" si="7"/>
        <v>75000</v>
      </c>
    </row>
    <row r="545" spans="1:6" x14ac:dyDescent="0.25">
      <c r="A545" s="8"/>
      <c r="B545" t="s">
        <v>89</v>
      </c>
      <c r="C545">
        <v>10</v>
      </c>
      <c r="D545" t="s">
        <v>72</v>
      </c>
      <c r="E545" s="9">
        <v>25000</v>
      </c>
      <c r="F545" s="9">
        <f t="shared" si="7"/>
        <v>250000</v>
      </c>
    </row>
    <row r="546" spans="1:6" x14ac:dyDescent="0.25">
      <c r="A546" s="8"/>
      <c r="B546" t="s">
        <v>187</v>
      </c>
      <c r="C546">
        <v>4</v>
      </c>
      <c r="D546" t="s">
        <v>72</v>
      </c>
      <c r="E546" s="9">
        <v>25000</v>
      </c>
      <c r="F546" s="9">
        <f t="shared" si="7"/>
        <v>100000</v>
      </c>
    </row>
    <row r="547" spans="1:6" x14ac:dyDescent="0.25">
      <c r="A547" s="8"/>
      <c r="B547" t="s">
        <v>45</v>
      </c>
      <c r="C547">
        <v>1</v>
      </c>
      <c r="D547" t="s">
        <v>174</v>
      </c>
      <c r="E547" s="9">
        <v>15000</v>
      </c>
      <c r="F547" s="9">
        <f t="shared" si="7"/>
        <v>15000</v>
      </c>
    </row>
    <row r="548" spans="1:6" x14ac:dyDescent="0.25">
      <c r="A548" s="8"/>
      <c r="B548" t="s">
        <v>102</v>
      </c>
      <c r="C548">
        <v>5</v>
      </c>
      <c r="D548" t="s">
        <v>96</v>
      </c>
      <c r="E548" s="9">
        <v>28000</v>
      </c>
      <c r="F548" s="9">
        <f t="shared" si="7"/>
        <v>140000</v>
      </c>
    </row>
    <row r="549" spans="1:6" x14ac:dyDescent="0.25">
      <c r="A549" s="8">
        <v>45393</v>
      </c>
      <c r="B549" t="s">
        <v>101</v>
      </c>
      <c r="C549">
        <v>10</v>
      </c>
      <c r="D549" t="s">
        <v>69</v>
      </c>
      <c r="E549" s="9">
        <v>25000</v>
      </c>
      <c r="F549" s="9">
        <f t="shared" si="7"/>
        <v>250000</v>
      </c>
    </row>
    <row r="550" spans="1:6" x14ac:dyDescent="0.25">
      <c r="A550" s="8"/>
      <c r="B550" t="s">
        <v>52</v>
      </c>
      <c r="C550">
        <v>39</v>
      </c>
      <c r="D550" t="s">
        <v>71</v>
      </c>
      <c r="E550" s="9">
        <v>23000</v>
      </c>
      <c r="F550" s="9">
        <f t="shared" si="7"/>
        <v>897000</v>
      </c>
    </row>
    <row r="551" spans="1:6" x14ac:dyDescent="0.25">
      <c r="A551" s="8"/>
      <c r="B551" t="s">
        <v>52</v>
      </c>
      <c r="C551">
        <v>4</v>
      </c>
      <c r="D551" t="s">
        <v>69</v>
      </c>
      <c r="E551" s="9">
        <v>26000</v>
      </c>
      <c r="F551" s="9">
        <f t="shared" si="7"/>
        <v>104000</v>
      </c>
    </row>
    <row r="552" spans="1:6" x14ac:dyDescent="0.25">
      <c r="A552" s="8"/>
      <c r="B552" t="s">
        <v>82</v>
      </c>
      <c r="C552">
        <v>56</v>
      </c>
      <c r="D552" t="s">
        <v>72</v>
      </c>
      <c r="E552" s="9">
        <v>24000</v>
      </c>
      <c r="F552" s="9">
        <f t="shared" si="7"/>
        <v>1344000</v>
      </c>
    </row>
    <row r="553" spans="1:6" x14ac:dyDescent="0.25">
      <c r="A553" s="8"/>
      <c r="B553" t="s">
        <v>116</v>
      </c>
      <c r="C553">
        <v>5</v>
      </c>
      <c r="D553" t="s">
        <v>69</v>
      </c>
      <c r="E553" s="9">
        <v>26000</v>
      </c>
      <c r="F553" s="9">
        <f t="shared" si="7"/>
        <v>130000</v>
      </c>
    </row>
    <row r="554" spans="1:6" x14ac:dyDescent="0.25">
      <c r="A554" s="8">
        <v>45394</v>
      </c>
      <c r="B554" t="s">
        <v>200</v>
      </c>
      <c r="C554">
        <v>2</v>
      </c>
      <c r="D554" t="s">
        <v>69</v>
      </c>
      <c r="E554" s="9">
        <v>27000</v>
      </c>
      <c r="F554" s="9">
        <f t="shared" si="7"/>
        <v>54000</v>
      </c>
    </row>
    <row r="555" spans="1:6" x14ac:dyDescent="0.25">
      <c r="A555" s="8"/>
      <c r="B555" t="s">
        <v>200</v>
      </c>
      <c r="C555">
        <v>1</v>
      </c>
      <c r="D555" t="s">
        <v>71</v>
      </c>
      <c r="E555" s="9">
        <v>24000</v>
      </c>
      <c r="F555" s="9">
        <f t="shared" si="7"/>
        <v>24000</v>
      </c>
    </row>
    <row r="556" spans="1:6" x14ac:dyDescent="0.25">
      <c r="A556" s="8"/>
      <c r="B556" t="s">
        <v>135</v>
      </c>
      <c r="C556">
        <v>1</v>
      </c>
      <c r="D556" t="s">
        <v>69</v>
      </c>
      <c r="E556" s="9">
        <v>27000</v>
      </c>
      <c r="F556" s="9">
        <f t="shared" si="7"/>
        <v>27000</v>
      </c>
    </row>
    <row r="557" spans="1:6" x14ac:dyDescent="0.25">
      <c r="A557" s="8"/>
      <c r="B557" t="s">
        <v>119</v>
      </c>
      <c r="C557">
        <v>5</v>
      </c>
      <c r="D557" t="s">
        <v>69</v>
      </c>
      <c r="E557" s="9">
        <v>26000</v>
      </c>
      <c r="F557" s="9">
        <f t="shared" si="7"/>
        <v>130000</v>
      </c>
    </row>
    <row r="558" spans="1:6" x14ac:dyDescent="0.25">
      <c r="A558" s="8"/>
      <c r="B558" t="s">
        <v>45</v>
      </c>
      <c r="C558">
        <v>1</v>
      </c>
      <c r="D558" t="s">
        <v>69</v>
      </c>
      <c r="E558" s="9">
        <v>28000</v>
      </c>
      <c r="F558" s="9">
        <f t="shared" si="7"/>
        <v>28000</v>
      </c>
    </row>
    <row r="559" spans="1:6" x14ac:dyDescent="0.25">
      <c r="A559" s="8"/>
      <c r="B559" t="s">
        <v>100</v>
      </c>
      <c r="C559">
        <v>5</v>
      </c>
      <c r="D559" t="s">
        <v>96</v>
      </c>
      <c r="E559" s="9">
        <v>30000</v>
      </c>
      <c r="F559" s="9">
        <f t="shared" si="7"/>
        <v>150000</v>
      </c>
    </row>
    <row r="560" spans="1:6" x14ac:dyDescent="0.25">
      <c r="A560" s="8"/>
      <c r="B560" t="s">
        <v>82</v>
      </c>
      <c r="C560">
        <v>50</v>
      </c>
      <c r="D560" t="s">
        <v>72</v>
      </c>
      <c r="E560" s="9">
        <v>24000</v>
      </c>
      <c r="F560" s="9">
        <f t="shared" si="7"/>
        <v>1200000</v>
      </c>
    </row>
    <row r="561" spans="1:6" x14ac:dyDescent="0.25">
      <c r="A561" s="8"/>
      <c r="B561" t="s">
        <v>130</v>
      </c>
      <c r="C561">
        <v>15</v>
      </c>
      <c r="D561" t="s">
        <v>71</v>
      </c>
      <c r="E561" s="9">
        <v>23000</v>
      </c>
      <c r="F561" s="9">
        <f t="shared" si="7"/>
        <v>345000</v>
      </c>
    </row>
    <row r="562" spans="1:6" x14ac:dyDescent="0.25">
      <c r="A562" s="8"/>
      <c r="B562" t="s">
        <v>195</v>
      </c>
      <c r="C562">
        <v>2</v>
      </c>
      <c r="D562" t="s">
        <v>69</v>
      </c>
      <c r="E562" s="9">
        <v>50000</v>
      </c>
      <c r="F562" s="9">
        <f t="shared" si="7"/>
        <v>100000</v>
      </c>
    </row>
    <row r="563" spans="1:6" x14ac:dyDescent="0.25">
      <c r="A563" s="8"/>
      <c r="B563" t="s">
        <v>45</v>
      </c>
      <c r="C563">
        <v>1</v>
      </c>
      <c r="D563" t="s">
        <v>174</v>
      </c>
      <c r="E563" s="9">
        <v>15000</v>
      </c>
      <c r="F563" s="9">
        <f t="shared" si="7"/>
        <v>15000</v>
      </c>
    </row>
    <row r="564" spans="1:6" x14ac:dyDescent="0.25">
      <c r="A564" s="8">
        <v>45395</v>
      </c>
      <c r="B564" t="s">
        <v>113</v>
      </c>
      <c r="C564">
        <v>3</v>
      </c>
      <c r="D564" t="s">
        <v>69</v>
      </c>
      <c r="E564" s="9">
        <v>28000</v>
      </c>
      <c r="F564" s="9">
        <f t="shared" si="7"/>
        <v>84000</v>
      </c>
    </row>
    <row r="565" spans="1:6" x14ac:dyDescent="0.25">
      <c r="A565" s="8"/>
      <c r="B565" t="s">
        <v>101</v>
      </c>
      <c r="C565">
        <v>10</v>
      </c>
      <c r="D565" t="s">
        <v>69</v>
      </c>
      <c r="E565" s="9">
        <v>25000</v>
      </c>
      <c r="F565" s="9">
        <f t="shared" si="7"/>
        <v>250000</v>
      </c>
    </row>
    <row r="566" spans="1:6" x14ac:dyDescent="0.25">
      <c r="A566" s="8"/>
      <c r="B566" t="s">
        <v>201</v>
      </c>
      <c r="C566">
        <v>6</v>
      </c>
      <c r="D566" t="s">
        <v>71</v>
      </c>
      <c r="E566" s="9">
        <v>23000</v>
      </c>
      <c r="F566" s="9">
        <f t="shared" si="7"/>
        <v>138000</v>
      </c>
    </row>
    <row r="567" spans="1:6" x14ac:dyDescent="0.25">
      <c r="A567" s="8"/>
      <c r="B567" t="s">
        <v>201</v>
      </c>
      <c r="C567">
        <v>10</v>
      </c>
      <c r="D567" t="s">
        <v>72</v>
      </c>
      <c r="E567" s="9">
        <v>24000</v>
      </c>
      <c r="F567" s="9">
        <f t="shared" si="7"/>
        <v>240000</v>
      </c>
    </row>
    <row r="568" spans="1:6" x14ac:dyDescent="0.25">
      <c r="A568" s="8"/>
      <c r="B568" t="s">
        <v>45</v>
      </c>
      <c r="C568">
        <v>1</v>
      </c>
      <c r="D568" t="s">
        <v>72</v>
      </c>
      <c r="E568" s="9">
        <v>25000</v>
      </c>
      <c r="F568" s="9">
        <f t="shared" si="7"/>
        <v>25000</v>
      </c>
    </row>
    <row r="569" spans="1:6" x14ac:dyDescent="0.25">
      <c r="A569" s="8">
        <v>45396</v>
      </c>
      <c r="B569" t="s">
        <v>52</v>
      </c>
      <c r="C569">
        <v>15</v>
      </c>
      <c r="D569" t="s">
        <v>71</v>
      </c>
      <c r="E569" s="9">
        <v>23000</v>
      </c>
      <c r="F569" s="9">
        <f t="shared" si="7"/>
        <v>345000</v>
      </c>
    </row>
    <row r="570" spans="1:6" x14ac:dyDescent="0.25">
      <c r="A570" s="8"/>
      <c r="B570" t="s">
        <v>52</v>
      </c>
      <c r="C570">
        <v>45</v>
      </c>
      <c r="D570" t="s">
        <v>72</v>
      </c>
      <c r="E570" s="9">
        <v>24000</v>
      </c>
      <c r="F570" s="9">
        <f t="shared" si="7"/>
        <v>1080000</v>
      </c>
    </row>
    <row r="571" spans="1:6" x14ac:dyDescent="0.25">
      <c r="A571" s="8"/>
      <c r="B571" t="s">
        <v>117</v>
      </c>
      <c r="C571">
        <v>3</v>
      </c>
      <c r="D571" t="s">
        <v>72</v>
      </c>
      <c r="E571" s="9">
        <v>25000</v>
      </c>
      <c r="F571" s="9">
        <f t="shared" si="7"/>
        <v>75000</v>
      </c>
    </row>
    <row r="572" spans="1:6" x14ac:dyDescent="0.25">
      <c r="A572" s="8"/>
      <c r="B572" t="s">
        <v>117</v>
      </c>
      <c r="C572">
        <v>2</v>
      </c>
      <c r="D572" t="s">
        <v>69</v>
      </c>
      <c r="E572" s="9">
        <v>26000</v>
      </c>
      <c r="F572" s="9">
        <f t="shared" si="7"/>
        <v>52000</v>
      </c>
    </row>
    <row r="573" spans="1:6" x14ac:dyDescent="0.25">
      <c r="A573" s="8"/>
      <c r="B573" t="s">
        <v>42</v>
      </c>
      <c r="C573">
        <v>10</v>
      </c>
      <c r="D573" t="s">
        <v>69</v>
      </c>
      <c r="E573" s="9">
        <v>25000</v>
      </c>
      <c r="F573" s="9">
        <f t="shared" si="7"/>
        <v>250000</v>
      </c>
    </row>
    <row r="574" spans="1:6" x14ac:dyDescent="0.25">
      <c r="A574" s="8">
        <v>45397</v>
      </c>
      <c r="B574" t="s">
        <v>85</v>
      </c>
      <c r="C574">
        <v>10</v>
      </c>
      <c r="D574" t="s">
        <v>69</v>
      </c>
      <c r="E574" s="9">
        <v>25000</v>
      </c>
      <c r="F574" s="9">
        <f t="shared" si="7"/>
        <v>250000</v>
      </c>
    </row>
    <row r="575" spans="1:6" x14ac:dyDescent="0.25">
      <c r="A575" s="8"/>
      <c r="B575" t="s">
        <v>52</v>
      </c>
      <c r="C575">
        <v>36</v>
      </c>
      <c r="D575" t="s">
        <v>71</v>
      </c>
      <c r="E575" s="9">
        <v>23000</v>
      </c>
      <c r="F575" s="9">
        <f t="shared" si="7"/>
        <v>828000</v>
      </c>
    </row>
    <row r="576" spans="1:6" x14ac:dyDescent="0.25">
      <c r="A576" s="8"/>
      <c r="B576" t="s">
        <v>52</v>
      </c>
      <c r="C576">
        <v>8</v>
      </c>
      <c r="D576" t="s">
        <v>69</v>
      </c>
      <c r="E576" s="9">
        <v>26000</v>
      </c>
      <c r="F576" s="9">
        <f t="shared" si="7"/>
        <v>208000</v>
      </c>
    </row>
    <row r="577" spans="1:6" x14ac:dyDescent="0.25">
      <c r="A577" s="8"/>
      <c r="B577" t="s">
        <v>78</v>
      </c>
      <c r="C577">
        <v>5</v>
      </c>
      <c r="D577" t="s">
        <v>69</v>
      </c>
      <c r="E577" s="9">
        <v>24000</v>
      </c>
      <c r="F577" s="9">
        <f t="shared" si="7"/>
        <v>120000</v>
      </c>
    </row>
    <row r="578" spans="1:6" x14ac:dyDescent="0.25">
      <c r="A578" s="8"/>
      <c r="B578" t="s">
        <v>202</v>
      </c>
      <c r="C578">
        <v>2</v>
      </c>
      <c r="D578" t="s">
        <v>72</v>
      </c>
      <c r="E578" s="9">
        <v>24000</v>
      </c>
      <c r="F578" s="9">
        <f t="shared" si="7"/>
        <v>48000</v>
      </c>
    </row>
    <row r="579" spans="1:6" x14ac:dyDescent="0.25">
      <c r="A579" s="8"/>
      <c r="B579" t="s">
        <v>39</v>
      </c>
      <c r="C579">
        <v>12</v>
      </c>
      <c r="D579" t="s">
        <v>71</v>
      </c>
      <c r="E579" s="9">
        <v>22000</v>
      </c>
      <c r="F579" s="9">
        <f t="shared" si="7"/>
        <v>264000</v>
      </c>
    </row>
    <row r="580" spans="1:6" x14ac:dyDescent="0.25">
      <c r="A580" s="8"/>
      <c r="B580" t="s">
        <v>39</v>
      </c>
      <c r="C580">
        <v>58</v>
      </c>
      <c r="D580" t="s">
        <v>72</v>
      </c>
      <c r="E580" s="9">
        <v>23000</v>
      </c>
      <c r="F580" s="9">
        <f t="shared" si="7"/>
        <v>1334000</v>
      </c>
    </row>
    <row r="581" spans="1:6" x14ac:dyDescent="0.25">
      <c r="A581" s="8">
        <v>45398</v>
      </c>
      <c r="B581" t="s">
        <v>82</v>
      </c>
      <c r="C581">
        <v>74</v>
      </c>
      <c r="D581" t="s">
        <v>72</v>
      </c>
      <c r="E581" s="9">
        <v>24000</v>
      </c>
      <c r="F581" s="9">
        <f t="shared" si="7"/>
        <v>1776000</v>
      </c>
    </row>
    <row r="582" spans="1:6" x14ac:dyDescent="0.25">
      <c r="A582" s="8"/>
      <c r="B582" t="s">
        <v>117</v>
      </c>
      <c r="C582">
        <v>4</v>
      </c>
      <c r="D582" t="s">
        <v>69</v>
      </c>
      <c r="E582" s="9">
        <v>26000</v>
      </c>
      <c r="F582" s="9">
        <f t="shared" si="7"/>
        <v>104000</v>
      </c>
    </row>
    <row r="583" spans="1:6" x14ac:dyDescent="0.25">
      <c r="A583" s="8"/>
      <c r="B583" t="s">
        <v>117</v>
      </c>
      <c r="C583">
        <v>5</v>
      </c>
      <c r="D583" t="s">
        <v>72</v>
      </c>
      <c r="E583" s="9">
        <v>25000</v>
      </c>
      <c r="F583" s="9">
        <f t="shared" si="7"/>
        <v>125000</v>
      </c>
    </row>
    <row r="584" spans="1:6" x14ac:dyDescent="0.25">
      <c r="A584" s="8"/>
      <c r="B584" t="s">
        <v>98</v>
      </c>
      <c r="C584">
        <v>10</v>
      </c>
      <c r="D584" t="s">
        <v>71</v>
      </c>
      <c r="E584" s="9">
        <v>23000</v>
      </c>
      <c r="F584" s="9">
        <f t="shared" si="7"/>
        <v>230000</v>
      </c>
    </row>
    <row r="585" spans="1:6" x14ac:dyDescent="0.25">
      <c r="A585" s="8"/>
      <c r="B585" t="s">
        <v>42</v>
      </c>
      <c r="C585">
        <v>12</v>
      </c>
      <c r="D585" t="s">
        <v>69</v>
      </c>
      <c r="E585" s="9">
        <v>25000</v>
      </c>
      <c r="F585" s="9">
        <f t="shared" si="7"/>
        <v>300000</v>
      </c>
    </row>
    <row r="586" spans="1:6" x14ac:dyDescent="0.25">
      <c r="A586" s="8">
        <v>45399</v>
      </c>
      <c r="B586" t="s">
        <v>45</v>
      </c>
      <c r="C586">
        <v>1</v>
      </c>
      <c r="D586" t="s">
        <v>96</v>
      </c>
      <c r="E586" s="9">
        <v>28000</v>
      </c>
      <c r="F586" s="9">
        <f t="shared" si="7"/>
        <v>28000</v>
      </c>
    </row>
    <row r="587" spans="1:6" x14ac:dyDescent="0.25">
      <c r="A587" s="8"/>
      <c r="B587" t="s">
        <v>64</v>
      </c>
      <c r="C587">
        <v>3</v>
      </c>
      <c r="D587" t="s">
        <v>72</v>
      </c>
      <c r="E587" s="9">
        <v>25000</v>
      </c>
      <c r="F587" s="9">
        <f t="shared" si="7"/>
        <v>75000</v>
      </c>
    </row>
    <row r="588" spans="1:6" x14ac:dyDescent="0.25">
      <c r="A588" s="8"/>
      <c r="B588" t="s">
        <v>45</v>
      </c>
      <c r="C588">
        <v>1</v>
      </c>
      <c r="D588" t="s">
        <v>71</v>
      </c>
      <c r="E588" s="9">
        <v>25000</v>
      </c>
      <c r="F588" s="9">
        <f t="shared" si="7"/>
        <v>25000</v>
      </c>
    </row>
    <row r="589" spans="1:6" x14ac:dyDescent="0.25">
      <c r="A589" s="8"/>
      <c r="B589" t="s">
        <v>45</v>
      </c>
      <c r="C589">
        <v>1</v>
      </c>
      <c r="D589" t="s">
        <v>174</v>
      </c>
      <c r="E589" s="9">
        <v>15000</v>
      </c>
      <c r="F589" s="9">
        <f t="shared" si="7"/>
        <v>15000</v>
      </c>
    </row>
    <row r="590" spans="1:6" x14ac:dyDescent="0.25">
      <c r="A590" s="8"/>
      <c r="B590" t="s">
        <v>203</v>
      </c>
      <c r="C590">
        <v>5</v>
      </c>
      <c r="D590" t="s">
        <v>71</v>
      </c>
      <c r="E590" s="9">
        <v>23000</v>
      </c>
      <c r="F590" s="9">
        <f t="shared" si="7"/>
        <v>115000</v>
      </c>
    </row>
    <row r="591" spans="1:6" x14ac:dyDescent="0.25">
      <c r="A591" s="8"/>
      <c r="B591" t="s">
        <v>118</v>
      </c>
      <c r="C591">
        <v>1</v>
      </c>
      <c r="D591" t="s">
        <v>71</v>
      </c>
      <c r="E591" s="9">
        <v>25000</v>
      </c>
      <c r="F591" s="9">
        <f t="shared" si="7"/>
        <v>25000</v>
      </c>
    </row>
    <row r="592" spans="1:6" x14ac:dyDescent="0.25">
      <c r="A592" s="8"/>
      <c r="B592" t="s">
        <v>119</v>
      </c>
      <c r="C592">
        <v>5</v>
      </c>
      <c r="D592" t="s">
        <v>69</v>
      </c>
      <c r="E592" s="9">
        <v>26000</v>
      </c>
      <c r="F592" s="9">
        <f t="shared" si="7"/>
        <v>130000</v>
      </c>
    </row>
    <row r="593" spans="1:6" x14ac:dyDescent="0.25">
      <c r="A593" s="8"/>
      <c r="B593" t="s">
        <v>82</v>
      </c>
      <c r="C593">
        <v>90</v>
      </c>
      <c r="D593" t="s">
        <v>72</v>
      </c>
      <c r="E593" s="9">
        <v>24000</v>
      </c>
      <c r="F593" s="9">
        <f t="shared" si="7"/>
        <v>2160000</v>
      </c>
    </row>
    <row r="594" spans="1:6" x14ac:dyDescent="0.25">
      <c r="A594" s="8"/>
      <c r="B594" t="s">
        <v>52</v>
      </c>
      <c r="C594">
        <v>30</v>
      </c>
      <c r="D594" t="s">
        <v>71</v>
      </c>
      <c r="E594" s="9">
        <v>23000</v>
      </c>
      <c r="F594" s="9">
        <f t="shared" si="7"/>
        <v>690000</v>
      </c>
    </row>
    <row r="595" spans="1:6" x14ac:dyDescent="0.25">
      <c r="A595" s="8"/>
      <c r="B595" t="s">
        <v>52</v>
      </c>
      <c r="C595">
        <v>10</v>
      </c>
      <c r="D595" t="s">
        <v>69</v>
      </c>
      <c r="E595" s="9">
        <v>26000</v>
      </c>
      <c r="F595" s="9">
        <f t="shared" si="7"/>
        <v>260000</v>
      </c>
    </row>
    <row r="596" spans="1:6" x14ac:dyDescent="0.25">
      <c r="A596" s="8"/>
      <c r="B596" t="s">
        <v>101</v>
      </c>
      <c r="C596">
        <v>10</v>
      </c>
      <c r="D596" t="s">
        <v>69</v>
      </c>
      <c r="E596" s="9">
        <v>25000</v>
      </c>
      <c r="F596" s="9">
        <f t="shared" si="7"/>
        <v>250000</v>
      </c>
    </row>
    <row r="597" spans="1:6" x14ac:dyDescent="0.25">
      <c r="A597" s="8">
        <v>45401</v>
      </c>
      <c r="B597" t="s">
        <v>200</v>
      </c>
      <c r="C597">
        <v>2</v>
      </c>
      <c r="D597" t="s">
        <v>69</v>
      </c>
      <c r="E597" s="9">
        <v>27000</v>
      </c>
      <c r="F597" s="9">
        <f t="shared" si="7"/>
        <v>54000</v>
      </c>
    </row>
    <row r="598" spans="1:6" x14ac:dyDescent="0.25">
      <c r="A598" s="8"/>
      <c r="B598" t="s">
        <v>102</v>
      </c>
      <c r="C598">
        <v>4</v>
      </c>
      <c r="D598" t="s">
        <v>96</v>
      </c>
      <c r="E598" s="9">
        <v>28000</v>
      </c>
      <c r="F598" s="9">
        <f t="shared" si="7"/>
        <v>112000</v>
      </c>
    </row>
    <row r="599" spans="1:6" x14ac:dyDescent="0.25">
      <c r="A599" s="8"/>
      <c r="B599" t="s">
        <v>181</v>
      </c>
      <c r="C599">
        <v>5</v>
      </c>
      <c r="D599" t="s">
        <v>71</v>
      </c>
      <c r="E599" s="9">
        <v>20000</v>
      </c>
      <c r="F599" s="9">
        <f t="shared" si="7"/>
        <v>100000</v>
      </c>
    </row>
    <row r="600" spans="1:6" x14ac:dyDescent="0.25">
      <c r="A600" s="8"/>
      <c r="B600" t="s">
        <v>203</v>
      </c>
      <c r="C600">
        <v>2</v>
      </c>
      <c r="D600" t="s">
        <v>72</v>
      </c>
      <c r="E600" s="9">
        <v>24000</v>
      </c>
      <c r="F600" s="9">
        <f t="shared" si="7"/>
        <v>48000</v>
      </c>
    </row>
    <row r="601" spans="1:6" x14ac:dyDescent="0.25">
      <c r="A601" s="8"/>
      <c r="B601" t="s">
        <v>52</v>
      </c>
      <c r="C601">
        <v>40</v>
      </c>
      <c r="D601" t="s">
        <v>72</v>
      </c>
      <c r="E601" s="9">
        <v>23000</v>
      </c>
      <c r="F601" s="9">
        <f t="shared" si="7"/>
        <v>920000</v>
      </c>
    </row>
    <row r="602" spans="1:6" x14ac:dyDescent="0.25">
      <c r="A602" s="8"/>
      <c r="B602" t="s">
        <v>52</v>
      </c>
      <c r="C602">
        <v>11</v>
      </c>
      <c r="D602" t="s">
        <v>69</v>
      </c>
      <c r="E602" s="9">
        <v>26000</v>
      </c>
      <c r="F602" s="9">
        <f t="shared" si="7"/>
        <v>286000</v>
      </c>
    </row>
    <row r="603" spans="1:6" x14ac:dyDescent="0.25">
      <c r="A603" s="8"/>
      <c r="B603" t="s">
        <v>52</v>
      </c>
      <c r="C603">
        <v>22</v>
      </c>
      <c r="D603" t="s">
        <v>71</v>
      </c>
      <c r="E603" s="9">
        <v>23000</v>
      </c>
      <c r="F603" s="9">
        <f t="shared" si="7"/>
        <v>506000</v>
      </c>
    </row>
    <row r="604" spans="1:6" x14ac:dyDescent="0.25">
      <c r="A604" s="8"/>
      <c r="B604" t="s">
        <v>177</v>
      </c>
      <c r="C604">
        <v>10</v>
      </c>
      <c r="D604" t="s">
        <v>72</v>
      </c>
      <c r="E604" s="9">
        <v>24000</v>
      </c>
      <c r="F604" s="9">
        <f t="shared" si="7"/>
        <v>240000</v>
      </c>
    </row>
    <row r="605" spans="1:6" x14ac:dyDescent="0.25">
      <c r="A605" s="8">
        <v>45402</v>
      </c>
      <c r="B605" t="s">
        <v>89</v>
      </c>
      <c r="C605">
        <v>10</v>
      </c>
      <c r="D605" t="s">
        <v>72</v>
      </c>
      <c r="E605" s="9">
        <v>25000</v>
      </c>
      <c r="F605" s="9">
        <f t="shared" ref="F605:F668" si="8">+E605*C605</f>
        <v>250000</v>
      </c>
    </row>
    <row r="606" spans="1:6" x14ac:dyDescent="0.25">
      <c r="A606" s="8"/>
      <c r="B606" t="s">
        <v>45</v>
      </c>
      <c r="C606">
        <v>2</v>
      </c>
      <c r="D606" t="s">
        <v>96</v>
      </c>
      <c r="E606" s="9">
        <v>28000</v>
      </c>
      <c r="F606" s="9">
        <f t="shared" si="8"/>
        <v>56000</v>
      </c>
    </row>
    <row r="607" spans="1:6" x14ac:dyDescent="0.25">
      <c r="A607" s="8"/>
      <c r="B607" t="s">
        <v>39</v>
      </c>
      <c r="C607">
        <v>15</v>
      </c>
      <c r="D607" t="s">
        <v>71</v>
      </c>
      <c r="E607" s="9">
        <v>22000</v>
      </c>
      <c r="F607" s="9">
        <f t="shared" si="8"/>
        <v>330000</v>
      </c>
    </row>
    <row r="608" spans="1:6" x14ac:dyDescent="0.25">
      <c r="A608" s="8"/>
      <c r="B608" t="s">
        <v>39</v>
      </c>
      <c r="C608">
        <v>39</v>
      </c>
      <c r="D608" t="s">
        <v>72</v>
      </c>
      <c r="E608" s="9">
        <v>23000</v>
      </c>
      <c r="F608" s="9">
        <f t="shared" si="8"/>
        <v>897000</v>
      </c>
    </row>
    <row r="609" spans="1:6" x14ac:dyDescent="0.25">
      <c r="A609" s="8"/>
      <c r="B609" t="s">
        <v>79</v>
      </c>
      <c r="C609">
        <v>4</v>
      </c>
      <c r="D609" t="s">
        <v>96</v>
      </c>
      <c r="E609" s="9">
        <v>25000</v>
      </c>
      <c r="F609" s="9">
        <f t="shared" si="8"/>
        <v>100000</v>
      </c>
    </row>
    <row r="610" spans="1:6" x14ac:dyDescent="0.25">
      <c r="A610" s="8"/>
      <c r="B610" t="s">
        <v>45</v>
      </c>
      <c r="C610">
        <v>2</v>
      </c>
      <c r="D610" t="s">
        <v>69</v>
      </c>
      <c r="E610" s="9">
        <v>27000</v>
      </c>
      <c r="F610" s="9">
        <f t="shared" si="8"/>
        <v>54000</v>
      </c>
    </row>
    <row r="611" spans="1:6" x14ac:dyDescent="0.25">
      <c r="A611" s="8"/>
      <c r="B611" t="s">
        <v>45</v>
      </c>
      <c r="C611">
        <v>2</v>
      </c>
      <c r="D611" t="s">
        <v>96</v>
      </c>
      <c r="E611" s="9">
        <v>28000</v>
      </c>
      <c r="F611" s="9">
        <f t="shared" si="8"/>
        <v>56000</v>
      </c>
    </row>
    <row r="612" spans="1:6" x14ac:dyDescent="0.25">
      <c r="A612" s="8"/>
      <c r="B612" t="s">
        <v>204</v>
      </c>
      <c r="C612">
        <v>1</v>
      </c>
      <c r="D612" t="s">
        <v>96</v>
      </c>
      <c r="E612" s="9">
        <v>28000</v>
      </c>
      <c r="F612" s="9">
        <f t="shared" si="8"/>
        <v>28000</v>
      </c>
    </row>
    <row r="613" spans="1:6" x14ac:dyDescent="0.25">
      <c r="A613" s="8"/>
      <c r="B613" t="s">
        <v>204</v>
      </c>
      <c r="C613">
        <v>6</v>
      </c>
      <c r="D613" t="s">
        <v>69</v>
      </c>
      <c r="E613" s="9">
        <v>27000</v>
      </c>
      <c r="F613" s="9">
        <f t="shared" si="8"/>
        <v>162000</v>
      </c>
    </row>
    <row r="614" spans="1:6" x14ac:dyDescent="0.25">
      <c r="A614" s="8"/>
      <c r="B614" t="s">
        <v>194</v>
      </c>
      <c r="C614">
        <v>4</v>
      </c>
      <c r="D614" t="s">
        <v>72</v>
      </c>
      <c r="E614" s="9">
        <v>25000</v>
      </c>
      <c r="F614" s="9">
        <f t="shared" si="8"/>
        <v>100000</v>
      </c>
    </row>
    <row r="615" spans="1:6" x14ac:dyDescent="0.25">
      <c r="A615" s="8"/>
      <c r="B615" t="s">
        <v>205</v>
      </c>
      <c r="C615">
        <v>4</v>
      </c>
      <c r="D615" t="s">
        <v>71</v>
      </c>
      <c r="E615" s="9">
        <v>24000</v>
      </c>
      <c r="F615" s="9">
        <f t="shared" si="8"/>
        <v>96000</v>
      </c>
    </row>
    <row r="616" spans="1:6" x14ac:dyDescent="0.25">
      <c r="A616" s="8"/>
      <c r="B616" t="s">
        <v>206</v>
      </c>
      <c r="C616">
        <v>2</v>
      </c>
      <c r="D616" t="s">
        <v>69</v>
      </c>
      <c r="E616" s="9">
        <v>27000</v>
      </c>
      <c r="F616" s="9">
        <f t="shared" si="8"/>
        <v>54000</v>
      </c>
    </row>
    <row r="617" spans="1:6" x14ac:dyDescent="0.25">
      <c r="A617" s="8"/>
      <c r="B617" t="s">
        <v>206</v>
      </c>
      <c r="C617">
        <v>1</v>
      </c>
      <c r="D617" t="s">
        <v>96</v>
      </c>
      <c r="E617" s="9">
        <v>28000</v>
      </c>
      <c r="F617" s="9">
        <f t="shared" si="8"/>
        <v>28000</v>
      </c>
    </row>
    <row r="618" spans="1:6" x14ac:dyDescent="0.25">
      <c r="A618" s="8"/>
      <c r="B618" t="s">
        <v>207</v>
      </c>
      <c r="C618">
        <v>1</v>
      </c>
      <c r="D618" t="s">
        <v>69</v>
      </c>
      <c r="E618" s="9">
        <v>25000</v>
      </c>
      <c r="F618" s="9">
        <f t="shared" si="8"/>
        <v>25000</v>
      </c>
    </row>
    <row r="619" spans="1:6" x14ac:dyDescent="0.25">
      <c r="A619" s="8">
        <v>45403</v>
      </c>
      <c r="B619" t="s">
        <v>208</v>
      </c>
      <c r="C619">
        <v>4</v>
      </c>
      <c r="D619" t="s">
        <v>69</v>
      </c>
      <c r="E619" s="9">
        <v>27000</v>
      </c>
      <c r="F619" s="9">
        <f t="shared" si="8"/>
        <v>108000</v>
      </c>
    </row>
    <row r="620" spans="1:6" x14ac:dyDescent="0.25">
      <c r="A620" s="8"/>
      <c r="B620" t="s">
        <v>186</v>
      </c>
      <c r="C620">
        <v>2</v>
      </c>
      <c r="D620" t="s">
        <v>72</v>
      </c>
      <c r="E620" s="9">
        <v>25000</v>
      </c>
      <c r="F620" s="9">
        <f t="shared" si="8"/>
        <v>50000</v>
      </c>
    </row>
    <row r="621" spans="1:6" x14ac:dyDescent="0.25">
      <c r="A621" s="8"/>
      <c r="B621" t="s">
        <v>209</v>
      </c>
      <c r="C621">
        <v>2</v>
      </c>
      <c r="D621" t="s">
        <v>69</v>
      </c>
      <c r="E621" s="9">
        <v>27000</v>
      </c>
      <c r="F621" s="9">
        <f t="shared" si="8"/>
        <v>54000</v>
      </c>
    </row>
    <row r="622" spans="1:6" x14ac:dyDescent="0.25">
      <c r="A622" s="8"/>
      <c r="B622" t="s">
        <v>41</v>
      </c>
      <c r="C622">
        <v>4</v>
      </c>
      <c r="D622" t="s">
        <v>69</v>
      </c>
      <c r="E622" s="9">
        <v>25000</v>
      </c>
      <c r="F622" s="9">
        <f t="shared" si="8"/>
        <v>100000</v>
      </c>
    </row>
    <row r="623" spans="1:6" x14ac:dyDescent="0.25">
      <c r="A623" s="8">
        <v>45404</v>
      </c>
      <c r="B623" t="s">
        <v>113</v>
      </c>
      <c r="C623">
        <v>4</v>
      </c>
      <c r="D623" t="s">
        <v>69</v>
      </c>
      <c r="E623" s="9">
        <v>27000</v>
      </c>
      <c r="F623" s="9">
        <f t="shared" si="8"/>
        <v>108000</v>
      </c>
    </row>
    <row r="624" spans="1:6" x14ac:dyDescent="0.25">
      <c r="A624" s="8"/>
      <c r="B624" t="s">
        <v>200</v>
      </c>
      <c r="C624">
        <v>1</v>
      </c>
      <c r="D624" t="s">
        <v>69</v>
      </c>
      <c r="E624" s="9">
        <v>27000</v>
      </c>
      <c r="F624" s="9">
        <f t="shared" si="8"/>
        <v>27000</v>
      </c>
    </row>
    <row r="625" spans="1:6" x14ac:dyDescent="0.25">
      <c r="A625" s="8"/>
      <c r="B625" t="s">
        <v>64</v>
      </c>
      <c r="C625">
        <v>2</v>
      </c>
      <c r="D625" t="s">
        <v>72</v>
      </c>
      <c r="E625" s="9">
        <v>25000</v>
      </c>
      <c r="F625" s="9">
        <f t="shared" si="8"/>
        <v>50000</v>
      </c>
    </row>
    <row r="626" spans="1:6" x14ac:dyDescent="0.25">
      <c r="A626" s="8"/>
      <c r="B626" t="s">
        <v>101</v>
      </c>
      <c r="C626">
        <v>10</v>
      </c>
      <c r="D626" t="s">
        <v>69</v>
      </c>
      <c r="E626" s="9">
        <v>25000</v>
      </c>
      <c r="F626" s="9">
        <f t="shared" si="8"/>
        <v>250000</v>
      </c>
    </row>
    <row r="627" spans="1:6" x14ac:dyDescent="0.25">
      <c r="A627" s="8"/>
      <c r="B627" t="s">
        <v>80</v>
      </c>
      <c r="C627">
        <v>15</v>
      </c>
      <c r="D627" t="s">
        <v>72</v>
      </c>
      <c r="E627" s="9">
        <v>25000</v>
      </c>
      <c r="F627" s="9">
        <f t="shared" si="8"/>
        <v>375000</v>
      </c>
    </row>
    <row r="628" spans="1:6" x14ac:dyDescent="0.25">
      <c r="A628" s="8"/>
      <c r="B628" t="s">
        <v>117</v>
      </c>
      <c r="C628">
        <v>5</v>
      </c>
      <c r="D628" t="s">
        <v>69</v>
      </c>
      <c r="E628" s="9">
        <v>26000</v>
      </c>
      <c r="F628" s="9">
        <f t="shared" si="8"/>
        <v>130000</v>
      </c>
    </row>
    <row r="629" spans="1:6" x14ac:dyDescent="0.25">
      <c r="A629" s="8"/>
      <c r="B629" t="s">
        <v>117</v>
      </c>
      <c r="C629">
        <v>5</v>
      </c>
      <c r="D629" t="s">
        <v>72</v>
      </c>
      <c r="E629" s="9">
        <v>25000</v>
      </c>
      <c r="F629" s="9">
        <f t="shared" si="8"/>
        <v>125000</v>
      </c>
    </row>
    <row r="630" spans="1:6" x14ac:dyDescent="0.25">
      <c r="A630" s="8"/>
      <c r="B630" t="s">
        <v>119</v>
      </c>
      <c r="C630">
        <v>5</v>
      </c>
      <c r="D630" t="s">
        <v>69</v>
      </c>
      <c r="E630" s="9">
        <v>26000</v>
      </c>
      <c r="F630" s="9">
        <f t="shared" si="8"/>
        <v>130000</v>
      </c>
    </row>
    <row r="631" spans="1:6" x14ac:dyDescent="0.25">
      <c r="A631" s="8"/>
      <c r="B631" t="s">
        <v>98</v>
      </c>
      <c r="C631">
        <v>10</v>
      </c>
      <c r="D631" t="s">
        <v>71</v>
      </c>
      <c r="E631" s="9">
        <v>23000</v>
      </c>
      <c r="F631" s="9">
        <f t="shared" si="8"/>
        <v>230000</v>
      </c>
    </row>
    <row r="632" spans="1:6" x14ac:dyDescent="0.25">
      <c r="A632" s="8"/>
      <c r="B632" t="s">
        <v>42</v>
      </c>
      <c r="C632">
        <v>10</v>
      </c>
      <c r="D632" t="s">
        <v>72</v>
      </c>
      <c r="E632" s="9">
        <v>24000</v>
      </c>
      <c r="F632" s="9">
        <f t="shared" si="8"/>
        <v>240000</v>
      </c>
    </row>
    <row r="633" spans="1:6" x14ac:dyDescent="0.25">
      <c r="A633" s="8"/>
      <c r="B633" t="s">
        <v>52</v>
      </c>
      <c r="C633">
        <v>37</v>
      </c>
      <c r="D633" t="s">
        <v>72</v>
      </c>
      <c r="E633" s="9">
        <v>23000</v>
      </c>
      <c r="F633" s="9">
        <f t="shared" si="8"/>
        <v>851000</v>
      </c>
    </row>
    <row r="634" spans="1:6" x14ac:dyDescent="0.25">
      <c r="A634" s="8"/>
      <c r="B634" t="s">
        <v>181</v>
      </c>
      <c r="C634">
        <v>3</v>
      </c>
      <c r="D634" t="s">
        <v>71</v>
      </c>
      <c r="E634" s="9">
        <v>20000</v>
      </c>
      <c r="F634" s="9">
        <f t="shared" si="8"/>
        <v>60000</v>
      </c>
    </row>
    <row r="635" spans="1:6" x14ac:dyDescent="0.25">
      <c r="A635" s="8">
        <v>45405</v>
      </c>
      <c r="B635" t="s">
        <v>52</v>
      </c>
      <c r="C635">
        <v>40</v>
      </c>
      <c r="D635" t="s">
        <v>72</v>
      </c>
      <c r="E635" s="9">
        <v>23000</v>
      </c>
      <c r="F635" s="9">
        <f t="shared" si="8"/>
        <v>920000</v>
      </c>
    </row>
    <row r="636" spans="1:6" x14ac:dyDescent="0.25">
      <c r="A636" s="8"/>
      <c r="B636" t="s">
        <v>52</v>
      </c>
      <c r="C636">
        <v>10</v>
      </c>
      <c r="D636" t="s">
        <v>69</v>
      </c>
      <c r="E636" s="9">
        <v>26000</v>
      </c>
      <c r="F636" s="9">
        <f t="shared" si="8"/>
        <v>260000</v>
      </c>
    </row>
    <row r="637" spans="1:6" x14ac:dyDescent="0.25">
      <c r="A637" s="8"/>
      <c r="B637" t="s">
        <v>130</v>
      </c>
      <c r="C637">
        <v>10</v>
      </c>
      <c r="D637" t="s">
        <v>71</v>
      </c>
      <c r="E637" s="9">
        <v>23000</v>
      </c>
      <c r="F637" s="9">
        <f t="shared" si="8"/>
        <v>230000</v>
      </c>
    </row>
    <row r="638" spans="1:6" x14ac:dyDescent="0.25">
      <c r="A638" s="8"/>
      <c r="B638" t="s">
        <v>130</v>
      </c>
      <c r="C638">
        <v>5</v>
      </c>
      <c r="D638" t="s">
        <v>72</v>
      </c>
      <c r="E638" s="9">
        <v>24000</v>
      </c>
      <c r="F638" s="9">
        <f t="shared" si="8"/>
        <v>120000</v>
      </c>
    </row>
    <row r="639" spans="1:6" x14ac:dyDescent="0.25">
      <c r="A639" s="8"/>
      <c r="B639" t="s">
        <v>42</v>
      </c>
      <c r="C639">
        <v>10</v>
      </c>
      <c r="D639" t="s">
        <v>69</v>
      </c>
      <c r="E639" s="9">
        <v>25000</v>
      </c>
      <c r="F639" s="9">
        <f t="shared" si="8"/>
        <v>250000</v>
      </c>
    </row>
    <row r="640" spans="1:6" x14ac:dyDescent="0.25">
      <c r="A640" s="8"/>
      <c r="B640" t="s">
        <v>181</v>
      </c>
      <c r="C640">
        <v>4</v>
      </c>
      <c r="D640" t="s">
        <v>71</v>
      </c>
      <c r="E640" s="9">
        <v>20000</v>
      </c>
      <c r="F640" s="9">
        <f t="shared" si="8"/>
        <v>80000</v>
      </c>
    </row>
    <row r="641" spans="1:6" x14ac:dyDescent="0.25">
      <c r="A641" s="8"/>
      <c r="B641" t="s">
        <v>203</v>
      </c>
      <c r="C641">
        <v>2</v>
      </c>
      <c r="D641" t="s">
        <v>72</v>
      </c>
      <c r="E641" s="9">
        <v>24000</v>
      </c>
      <c r="F641" s="9">
        <f t="shared" si="8"/>
        <v>48000</v>
      </c>
    </row>
    <row r="642" spans="1:6" x14ac:dyDescent="0.25">
      <c r="A642" s="8"/>
      <c r="B642" t="s">
        <v>45</v>
      </c>
      <c r="C642">
        <v>8</v>
      </c>
      <c r="D642" t="s">
        <v>72</v>
      </c>
      <c r="E642" s="9">
        <v>25000</v>
      </c>
      <c r="F642" s="9">
        <f t="shared" si="8"/>
        <v>200000</v>
      </c>
    </row>
    <row r="643" spans="1:6" x14ac:dyDescent="0.25">
      <c r="A643" s="8"/>
      <c r="B643" t="s">
        <v>135</v>
      </c>
      <c r="C643">
        <v>2</v>
      </c>
      <c r="D643" t="s">
        <v>69</v>
      </c>
      <c r="E643" s="9">
        <v>27000</v>
      </c>
      <c r="F643" s="9">
        <f t="shared" si="8"/>
        <v>54000</v>
      </c>
    </row>
    <row r="644" spans="1:6" x14ac:dyDescent="0.25">
      <c r="A644" s="8"/>
      <c r="B644" t="s">
        <v>45</v>
      </c>
      <c r="C644">
        <v>1</v>
      </c>
      <c r="D644" t="s">
        <v>96</v>
      </c>
      <c r="E644" s="9">
        <v>28000</v>
      </c>
      <c r="F644" s="9">
        <f t="shared" si="8"/>
        <v>28000</v>
      </c>
    </row>
    <row r="645" spans="1:6" x14ac:dyDescent="0.25">
      <c r="A645" s="8"/>
      <c r="B645" t="s">
        <v>45</v>
      </c>
      <c r="C645">
        <v>2</v>
      </c>
      <c r="D645" t="s">
        <v>174</v>
      </c>
      <c r="E645" s="9">
        <v>15000</v>
      </c>
      <c r="F645" s="9">
        <f t="shared" si="8"/>
        <v>30000</v>
      </c>
    </row>
    <row r="646" spans="1:6" x14ac:dyDescent="0.25">
      <c r="A646" s="8"/>
      <c r="B646" t="s">
        <v>45</v>
      </c>
      <c r="C646">
        <v>2</v>
      </c>
      <c r="D646" t="s">
        <v>69</v>
      </c>
      <c r="E646" s="9">
        <v>25000</v>
      </c>
      <c r="F646" s="9">
        <f t="shared" si="8"/>
        <v>50000</v>
      </c>
    </row>
    <row r="647" spans="1:6" x14ac:dyDescent="0.25">
      <c r="A647" s="8"/>
      <c r="B647" t="s">
        <v>101</v>
      </c>
      <c r="C647">
        <v>12</v>
      </c>
      <c r="D647" t="s">
        <v>69</v>
      </c>
      <c r="E647" s="9">
        <v>25000</v>
      </c>
      <c r="F647" s="9">
        <f t="shared" si="8"/>
        <v>300000</v>
      </c>
    </row>
    <row r="648" spans="1:6" x14ac:dyDescent="0.25">
      <c r="A648" s="8"/>
      <c r="B648" t="s">
        <v>116</v>
      </c>
      <c r="C648">
        <v>5</v>
      </c>
      <c r="D648" t="s">
        <v>72</v>
      </c>
      <c r="E648" s="9">
        <v>24000</v>
      </c>
      <c r="F648" s="9">
        <f t="shared" si="8"/>
        <v>120000</v>
      </c>
    </row>
    <row r="649" spans="1:6" x14ac:dyDescent="0.25">
      <c r="A649" s="8"/>
      <c r="B649" t="s">
        <v>42</v>
      </c>
      <c r="C649">
        <v>10</v>
      </c>
      <c r="D649" t="s">
        <v>69</v>
      </c>
      <c r="E649" s="9">
        <v>25000</v>
      </c>
      <c r="F649" s="9">
        <f t="shared" si="8"/>
        <v>250000</v>
      </c>
    </row>
    <row r="650" spans="1:6" x14ac:dyDescent="0.25">
      <c r="A650" s="8"/>
      <c r="B650" t="s">
        <v>42</v>
      </c>
      <c r="C650">
        <v>10</v>
      </c>
      <c r="D650" t="s">
        <v>72</v>
      </c>
      <c r="E650" s="9">
        <v>23000</v>
      </c>
      <c r="F650" s="9">
        <f t="shared" si="8"/>
        <v>230000</v>
      </c>
    </row>
    <row r="651" spans="1:6" x14ac:dyDescent="0.25">
      <c r="A651" s="8"/>
      <c r="B651" t="s">
        <v>107</v>
      </c>
      <c r="C651">
        <v>2</v>
      </c>
      <c r="D651" t="s">
        <v>72</v>
      </c>
      <c r="E651" s="9">
        <v>25000</v>
      </c>
      <c r="F651" s="9">
        <f t="shared" si="8"/>
        <v>50000</v>
      </c>
    </row>
    <row r="652" spans="1:6" x14ac:dyDescent="0.25">
      <c r="A652" s="8"/>
      <c r="B652" t="s">
        <v>52</v>
      </c>
      <c r="C652">
        <v>20</v>
      </c>
      <c r="D652" t="s">
        <v>72</v>
      </c>
      <c r="E652" s="9">
        <v>23000</v>
      </c>
      <c r="F652" s="9">
        <f t="shared" si="8"/>
        <v>460000</v>
      </c>
    </row>
    <row r="653" spans="1:6" x14ac:dyDescent="0.25">
      <c r="A653" s="8"/>
      <c r="B653" t="s">
        <v>124</v>
      </c>
      <c r="C653">
        <v>5</v>
      </c>
      <c r="D653" t="s">
        <v>71</v>
      </c>
      <c r="E653" s="9">
        <v>23000</v>
      </c>
      <c r="F653" s="9">
        <f t="shared" si="8"/>
        <v>115000</v>
      </c>
    </row>
    <row r="654" spans="1:6" x14ac:dyDescent="0.25">
      <c r="A654" s="8"/>
      <c r="B654" t="s">
        <v>82</v>
      </c>
      <c r="C654">
        <v>50</v>
      </c>
      <c r="D654" t="s">
        <v>72</v>
      </c>
      <c r="E654" s="9">
        <v>22000</v>
      </c>
      <c r="F654" s="9">
        <f t="shared" si="8"/>
        <v>1100000</v>
      </c>
    </row>
    <row r="655" spans="1:6" x14ac:dyDescent="0.25">
      <c r="A655" s="8">
        <v>45408</v>
      </c>
      <c r="B655" t="s">
        <v>119</v>
      </c>
      <c r="C655">
        <v>4</v>
      </c>
      <c r="D655" t="s">
        <v>69</v>
      </c>
      <c r="E655" s="9">
        <v>26000</v>
      </c>
      <c r="F655" s="9">
        <f t="shared" si="8"/>
        <v>104000</v>
      </c>
    </row>
    <row r="656" spans="1:6" x14ac:dyDescent="0.25">
      <c r="A656" s="8"/>
      <c r="B656" t="s">
        <v>52</v>
      </c>
      <c r="C656">
        <v>28</v>
      </c>
      <c r="D656" t="s">
        <v>71</v>
      </c>
      <c r="E656" s="9">
        <v>22000</v>
      </c>
      <c r="F656" s="9">
        <f t="shared" si="8"/>
        <v>616000</v>
      </c>
    </row>
    <row r="657" spans="1:6" x14ac:dyDescent="0.25">
      <c r="A657" s="8"/>
      <c r="B657" t="s">
        <v>52</v>
      </c>
      <c r="C657">
        <v>10</v>
      </c>
      <c r="D657" t="s">
        <v>72</v>
      </c>
      <c r="E657" s="9">
        <v>23000</v>
      </c>
      <c r="F657" s="9">
        <f t="shared" si="8"/>
        <v>230000</v>
      </c>
    </row>
    <row r="658" spans="1:6" x14ac:dyDescent="0.25">
      <c r="A658" s="8"/>
      <c r="B658" t="s">
        <v>52</v>
      </c>
      <c r="C658">
        <v>16</v>
      </c>
      <c r="D658" t="s">
        <v>69</v>
      </c>
      <c r="E658" s="9">
        <v>25000</v>
      </c>
      <c r="F658" s="9">
        <f t="shared" si="8"/>
        <v>400000</v>
      </c>
    </row>
    <row r="659" spans="1:6" x14ac:dyDescent="0.25">
      <c r="A659" s="8"/>
      <c r="B659" t="s">
        <v>52</v>
      </c>
      <c r="C659">
        <v>50</v>
      </c>
      <c r="D659" t="s">
        <v>72</v>
      </c>
      <c r="E659" s="9">
        <v>23000</v>
      </c>
      <c r="F659" s="9">
        <f t="shared" si="8"/>
        <v>1150000</v>
      </c>
    </row>
    <row r="660" spans="1:6" x14ac:dyDescent="0.25">
      <c r="A660" s="8"/>
      <c r="B660" t="s">
        <v>187</v>
      </c>
      <c r="C660">
        <v>4</v>
      </c>
      <c r="D660" t="s">
        <v>72</v>
      </c>
      <c r="E660" s="9">
        <v>25000</v>
      </c>
      <c r="F660" s="9">
        <f t="shared" si="8"/>
        <v>100000</v>
      </c>
    </row>
    <row r="661" spans="1:6" x14ac:dyDescent="0.25">
      <c r="A661" s="8"/>
      <c r="B661" t="s">
        <v>135</v>
      </c>
      <c r="C661">
        <v>4</v>
      </c>
      <c r="D661" t="s">
        <v>71</v>
      </c>
      <c r="E661" s="9">
        <v>24000</v>
      </c>
      <c r="F661" s="9">
        <f t="shared" si="8"/>
        <v>96000</v>
      </c>
    </row>
    <row r="662" spans="1:6" x14ac:dyDescent="0.25">
      <c r="A662" s="8"/>
      <c r="B662" t="s">
        <v>102</v>
      </c>
      <c r="C662">
        <v>4</v>
      </c>
      <c r="D662" t="s">
        <v>96</v>
      </c>
      <c r="E662" s="9">
        <v>28000</v>
      </c>
      <c r="F662" s="9">
        <f t="shared" si="8"/>
        <v>112000</v>
      </c>
    </row>
    <row r="663" spans="1:6" x14ac:dyDescent="0.25">
      <c r="A663" s="8">
        <v>45409</v>
      </c>
      <c r="B663" t="s">
        <v>200</v>
      </c>
      <c r="C663">
        <v>1</v>
      </c>
      <c r="D663" t="s">
        <v>69</v>
      </c>
      <c r="E663" s="9">
        <v>25000</v>
      </c>
      <c r="F663" s="9">
        <f t="shared" si="8"/>
        <v>25000</v>
      </c>
    </row>
    <row r="664" spans="1:6" x14ac:dyDescent="0.25">
      <c r="A664" s="8"/>
      <c r="B664" t="s">
        <v>100</v>
      </c>
      <c r="C664">
        <v>4</v>
      </c>
      <c r="D664" t="s">
        <v>96</v>
      </c>
      <c r="E664" s="9">
        <v>30000</v>
      </c>
      <c r="F664" s="9">
        <f t="shared" si="8"/>
        <v>120000</v>
      </c>
    </row>
    <row r="665" spans="1:6" x14ac:dyDescent="0.25">
      <c r="A665" s="8"/>
      <c r="B665" t="s">
        <v>89</v>
      </c>
      <c r="C665">
        <v>10</v>
      </c>
      <c r="D665" t="s">
        <v>72</v>
      </c>
      <c r="E665" s="9">
        <v>25000</v>
      </c>
      <c r="F665" s="9">
        <f t="shared" si="8"/>
        <v>250000</v>
      </c>
    </row>
    <row r="666" spans="1:6" x14ac:dyDescent="0.25">
      <c r="A666" s="8"/>
      <c r="B666" t="s">
        <v>85</v>
      </c>
      <c r="C666">
        <v>10</v>
      </c>
      <c r="D666" t="s">
        <v>69</v>
      </c>
      <c r="E666" s="9">
        <v>25000</v>
      </c>
      <c r="F666" s="9">
        <f t="shared" si="8"/>
        <v>250000</v>
      </c>
    </row>
    <row r="667" spans="1:6" x14ac:dyDescent="0.25">
      <c r="A667" s="8"/>
      <c r="B667" t="s">
        <v>210</v>
      </c>
      <c r="C667">
        <v>25</v>
      </c>
      <c r="D667" t="s">
        <v>71</v>
      </c>
      <c r="E667" s="9">
        <v>22000</v>
      </c>
      <c r="F667" s="9">
        <f t="shared" si="8"/>
        <v>550000</v>
      </c>
    </row>
    <row r="668" spans="1:6" x14ac:dyDescent="0.25">
      <c r="A668" s="8">
        <v>45410</v>
      </c>
      <c r="B668" t="s">
        <v>87</v>
      </c>
      <c r="C668">
        <v>8</v>
      </c>
      <c r="D668" t="s">
        <v>72</v>
      </c>
      <c r="E668" s="9">
        <v>25000</v>
      </c>
      <c r="F668" s="9">
        <f t="shared" si="8"/>
        <v>200000</v>
      </c>
    </row>
    <row r="669" spans="1:6" x14ac:dyDescent="0.25">
      <c r="A669" s="8"/>
      <c r="B669" t="s">
        <v>135</v>
      </c>
      <c r="C669">
        <v>2</v>
      </c>
      <c r="D669" t="s">
        <v>69</v>
      </c>
      <c r="E669" s="9">
        <v>27000</v>
      </c>
      <c r="F669" s="9">
        <f t="shared" ref="F669:F732" si="9">+E669*C669</f>
        <v>54000</v>
      </c>
    </row>
    <row r="670" spans="1:6" x14ac:dyDescent="0.25">
      <c r="A670" s="8">
        <v>45411</v>
      </c>
      <c r="B670" t="s">
        <v>101</v>
      </c>
      <c r="C670">
        <v>10</v>
      </c>
      <c r="D670" t="s">
        <v>69</v>
      </c>
      <c r="E670" s="9">
        <v>25000</v>
      </c>
      <c r="F670" s="9">
        <f t="shared" si="9"/>
        <v>250000</v>
      </c>
    </row>
    <row r="671" spans="1:6" x14ac:dyDescent="0.25">
      <c r="A671" s="8"/>
      <c r="B671" t="s">
        <v>117</v>
      </c>
      <c r="C671">
        <v>4</v>
      </c>
      <c r="D671" t="s">
        <v>69</v>
      </c>
      <c r="E671" s="9">
        <v>26000</v>
      </c>
      <c r="F671" s="9">
        <f t="shared" si="9"/>
        <v>104000</v>
      </c>
    </row>
    <row r="672" spans="1:6" x14ac:dyDescent="0.25">
      <c r="A672" s="8"/>
      <c r="B672" t="s">
        <v>42</v>
      </c>
      <c r="C672">
        <v>14</v>
      </c>
      <c r="D672" t="s">
        <v>69</v>
      </c>
      <c r="E672" s="9">
        <v>25000</v>
      </c>
      <c r="F672" s="9">
        <f t="shared" si="9"/>
        <v>350000</v>
      </c>
    </row>
    <row r="673" spans="1:12" x14ac:dyDescent="0.25">
      <c r="A673" s="8"/>
      <c r="B673" t="s">
        <v>211</v>
      </c>
      <c r="C673">
        <v>2</v>
      </c>
      <c r="D673" t="s">
        <v>72</v>
      </c>
      <c r="E673" s="9">
        <v>24000</v>
      </c>
      <c r="F673" s="9">
        <f t="shared" si="9"/>
        <v>48000</v>
      </c>
    </row>
    <row r="674" spans="1:12" x14ac:dyDescent="0.25">
      <c r="A674" s="8"/>
      <c r="B674" t="s">
        <v>203</v>
      </c>
      <c r="C674">
        <v>3</v>
      </c>
      <c r="D674" t="s">
        <v>72</v>
      </c>
      <c r="E674" s="9">
        <v>23000</v>
      </c>
      <c r="F674" s="9">
        <f t="shared" si="9"/>
        <v>69000</v>
      </c>
    </row>
    <row r="675" spans="1:12" x14ac:dyDescent="0.25">
      <c r="A675" s="8"/>
      <c r="B675" t="s">
        <v>52</v>
      </c>
      <c r="C675">
        <v>20</v>
      </c>
      <c r="D675" t="s">
        <v>72</v>
      </c>
      <c r="E675" s="9">
        <v>23000</v>
      </c>
      <c r="F675" s="9">
        <f t="shared" si="9"/>
        <v>460000</v>
      </c>
    </row>
    <row r="676" spans="1:12" x14ac:dyDescent="0.25">
      <c r="A676" s="8"/>
      <c r="B676" t="s">
        <v>52</v>
      </c>
      <c r="C676">
        <v>20</v>
      </c>
      <c r="D676" t="s">
        <v>71</v>
      </c>
      <c r="E676" s="9">
        <v>22000</v>
      </c>
      <c r="F676" s="9">
        <f t="shared" si="9"/>
        <v>440000</v>
      </c>
    </row>
    <row r="677" spans="1:12" x14ac:dyDescent="0.25">
      <c r="A677" s="8"/>
      <c r="B677" t="s">
        <v>119</v>
      </c>
      <c r="C677">
        <v>4</v>
      </c>
      <c r="D677" t="s">
        <v>72</v>
      </c>
      <c r="E677" s="9">
        <v>24000</v>
      </c>
      <c r="F677" s="9">
        <f t="shared" si="9"/>
        <v>96000</v>
      </c>
    </row>
    <row r="678" spans="1:12" x14ac:dyDescent="0.25">
      <c r="A678" s="8"/>
      <c r="B678" t="s">
        <v>39</v>
      </c>
      <c r="C678">
        <v>62</v>
      </c>
      <c r="D678" t="s">
        <v>72</v>
      </c>
      <c r="E678" s="9">
        <v>22000</v>
      </c>
      <c r="F678" s="9">
        <f t="shared" si="9"/>
        <v>1364000</v>
      </c>
    </row>
    <row r="679" spans="1:12" x14ac:dyDescent="0.25">
      <c r="A679" s="8">
        <v>45412</v>
      </c>
      <c r="B679" t="s">
        <v>52</v>
      </c>
      <c r="C679">
        <v>10</v>
      </c>
      <c r="D679" t="s">
        <v>69</v>
      </c>
      <c r="E679" s="9">
        <v>25000</v>
      </c>
      <c r="F679" s="9">
        <f t="shared" si="9"/>
        <v>250000</v>
      </c>
    </row>
    <row r="680" spans="1:12" x14ac:dyDescent="0.25">
      <c r="A680" s="8"/>
      <c r="B680" t="s">
        <v>52</v>
      </c>
      <c r="C680">
        <v>20</v>
      </c>
      <c r="D680" t="s">
        <v>72</v>
      </c>
      <c r="E680" s="9">
        <v>23000</v>
      </c>
      <c r="F680" s="9">
        <f t="shared" si="9"/>
        <v>460000</v>
      </c>
    </row>
    <row r="681" spans="1:12" x14ac:dyDescent="0.25">
      <c r="A681" s="8"/>
      <c r="B681" t="s">
        <v>52</v>
      </c>
      <c r="C681">
        <v>10</v>
      </c>
      <c r="D681" t="s">
        <v>71</v>
      </c>
      <c r="E681" s="9">
        <v>22000</v>
      </c>
      <c r="F681" s="9">
        <f t="shared" si="9"/>
        <v>220000</v>
      </c>
    </row>
    <row r="682" spans="1:12" x14ac:dyDescent="0.25">
      <c r="A682" s="8"/>
      <c r="B682" t="s">
        <v>187</v>
      </c>
      <c r="C682">
        <v>4</v>
      </c>
      <c r="D682" t="s">
        <v>72</v>
      </c>
      <c r="E682" s="9">
        <v>25000</v>
      </c>
      <c r="F682" s="9">
        <f t="shared" si="9"/>
        <v>100000</v>
      </c>
    </row>
    <row r="683" spans="1:12" x14ac:dyDescent="0.25">
      <c r="A683" s="8"/>
      <c r="B683" t="s">
        <v>45</v>
      </c>
      <c r="C683">
        <v>2</v>
      </c>
      <c r="D683" t="s">
        <v>96</v>
      </c>
      <c r="E683" s="9">
        <v>28000</v>
      </c>
      <c r="F683" s="9">
        <f t="shared" si="9"/>
        <v>56000</v>
      </c>
    </row>
    <row r="684" spans="1:12" x14ac:dyDescent="0.25">
      <c r="A684" s="8"/>
      <c r="B684" t="s">
        <v>194</v>
      </c>
      <c r="C684">
        <v>4</v>
      </c>
      <c r="D684" t="s">
        <v>72</v>
      </c>
      <c r="E684" s="9">
        <v>25000</v>
      </c>
      <c r="F684" s="9">
        <f t="shared" si="9"/>
        <v>100000</v>
      </c>
    </row>
    <row r="685" spans="1:12" s="15" customFormat="1" x14ac:dyDescent="0.25">
      <c r="A685" s="12"/>
      <c r="B685" s="15" t="s">
        <v>181</v>
      </c>
      <c r="C685" s="15">
        <v>10</v>
      </c>
      <c r="D685" s="15" t="s">
        <v>71</v>
      </c>
      <c r="E685" s="13">
        <v>20000</v>
      </c>
      <c r="F685" s="13">
        <f t="shared" si="9"/>
        <v>200000</v>
      </c>
      <c r="I685" s="13"/>
      <c r="L685" s="13"/>
    </row>
    <row r="686" spans="1:12" x14ac:dyDescent="0.25">
      <c r="A686" s="8">
        <v>45413</v>
      </c>
      <c r="B686" t="s">
        <v>52</v>
      </c>
      <c r="C686">
        <v>15</v>
      </c>
      <c r="D686" t="s">
        <v>71</v>
      </c>
      <c r="E686" s="9">
        <v>22000</v>
      </c>
      <c r="F686" s="9">
        <f t="shared" si="9"/>
        <v>330000</v>
      </c>
      <c r="G686" s="31">
        <f>+SUM(F686:F871)/SUM(C686:C871)</f>
        <v>23196.08695652174</v>
      </c>
      <c r="H686" s="36" t="s">
        <v>139</v>
      </c>
      <c r="I686" s="31">
        <v>27</v>
      </c>
      <c r="J686" s="30"/>
    </row>
    <row r="687" spans="1:12" x14ac:dyDescent="0.25">
      <c r="A687" s="8"/>
      <c r="B687" t="s">
        <v>52</v>
      </c>
      <c r="C687">
        <v>20</v>
      </c>
      <c r="D687" t="s">
        <v>72</v>
      </c>
      <c r="E687" s="9">
        <v>23000</v>
      </c>
      <c r="F687" s="9">
        <f t="shared" si="9"/>
        <v>460000</v>
      </c>
    </row>
    <row r="688" spans="1:12" x14ac:dyDescent="0.25">
      <c r="A688" s="8"/>
      <c r="B688" t="s">
        <v>52</v>
      </c>
      <c r="C688">
        <v>10</v>
      </c>
      <c r="D688" t="s">
        <v>69</v>
      </c>
      <c r="E688" s="9">
        <v>25000</v>
      </c>
      <c r="F688" s="9">
        <f t="shared" si="9"/>
        <v>250000</v>
      </c>
      <c r="H688" s="40" t="s">
        <v>144</v>
      </c>
      <c r="I688" s="40"/>
      <c r="K688" s="40" t="s">
        <v>141</v>
      </c>
      <c r="L688" s="40"/>
    </row>
    <row r="689" spans="1:13" x14ac:dyDescent="0.25">
      <c r="A689" s="8">
        <v>45414</v>
      </c>
      <c r="B689" t="s">
        <v>80</v>
      </c>
      <c r="C689">
        <v>15</v>
      </c>
      <c r="D689" t="s">
        <v>69</v>
      </c>
      <c r="E689" s="9">
        <v>25000</v>
      </c>
      <c r="F689" s="9">
        <f t="shared" si="9"/>
        <v>375000</v>
      </c>
      <c r="H689" t="s">
        <v>139</v>
      </c>
      <c r="I689" s="17">
        <f>60/100*10*L689*I686</f>
        <v>1307340</v>
      </c>
      <c r="K689" t="s">
        <v>140</v>
      </c>
      <c r="L689" s="9">
        <v>8070</v>
      </c>
      <c r="M689" t="s">
        <v>146</v>
      </c>
    </row>
    <row r="690" spans="1:13" x14ac:dyDescent="0.25">
      <c r="A690" s="8"/>
      <c r="B690" t="s">
        <v>98</v>
      </c>
      <c r="C690">
        <v>10</v>
      </c>
      <c r="D690" t="s">
        <v>71</v>
      </c>
      <c r="E690" s="9">
        <v>23000</v>
      </c>
      <c r="F690" s="9">
        <f t="shared" si="9"/>
        <v>230000</v>
      </c>
      <c r="H690" t="s">
        <v>48</v>
      </c>
      <c r="I690" s="9">
        <f>+SUM(C686:C898)*L690</f>
        <v>1372800</v>
      </c>
      <c r="K690" t="s">
        <v>48</v>
      </c>
      <c r="L690" s="9">
        <v>520</v>
      </c>
      <c r="M690" t="s">
        <v>147</v>
      </c>
    </row>
    <row r="691" spans="1:13" x14ac:dyDescent="0.25">
      <c r="A691" s="8"/>
      <c r="B691" t="s">
        <v>42</v>
      </c>
      <c r="C691">
        <v>10</v>
      </c>
      <c r="D691" t="s">
        <v>69</v>
      </c>
      <c r="E691" s="9">
        <v>25000</v>
      </c>
      <c r="F691" s="9">
        <f t="shared" si="9"/>
        <v>250000</v>
      </c>
      <c r="H691" t="s">
        <v>142</v>
      </c>
      <c r="I691" s="9">
        <f>+L691*31*(L693+L694)</f>
        <v>25389000</v>
      </c>
      <c r="K691" t="s">
        <v>142</v>
      </c>
      <c r="L691" s="9">
        <v>63000</v>
      </c>
      <c r="M691" t="s">
        <v>148</v>
      </c>
    </row>
    <row r="692" spans="1:13" x14ac:dyDescent="0.25">
      <c r="A692" s="8"/>
      <c r="B692" t="s">
        <v>101</v>
      </c>
      <c r="C692">
        <v>10</v>
      </c>
      <c r="D692" t="s">
        <v>69</v>
      </c>
      <c r="E692" s="9">
        <v>25000</v>
      </c>
      <c r="F692" s="9">
        <f t="shared" si="9"/>
        <v>250000</v>
      </c>
      <c r="H692" t="s">
        <v>145</v>
      </c>
      <c r="I692" s="9">
        <f>+L692*31</f>
        <v>3144285.7142857146</v>
      </c>
      <c r="K692" t="s">
        <v>143</v>
      </c>
      <c r="L692" s="9">
        <f>500000/7+30000</f>
        <v>101428.57142857143</v>
      </c>
      <c r="M692" t="s">
        <v>149</v>
      </c>
    </row>
    <row r="693" spans="1:13" x14ac:dyDescent="0.25">
      <c r="A693" s="8"/>
      <c r="B693" t="s">
        <v>130</v>
      </c>
      <c r="C693">
        <v>15</v>
      </c>
      <c r="D693" t="s">
        <v>72</v>
      </c>
      <c r="E693" s="9">
        <v>23000</v>
      </c>
      <c r="F693" s="9">
        <f t="shared" si="9"/>
        <v>345000</v>
      </c>
      <c r="H693" t="s">
        <v>150</v>
      </c>
      <c r="I693" s="9">
        <v>15000</v>
      </c>
      <c r="J693" s="27"/>
      <c r="K693" t="s">
        <v>198</v>
      </c>
      <c r="L693" s="39">
        <v>8.5</v>
      </c>
    </row>
    <row r="694" spans="1:13" x14ac:dyDescent="0.25">
      <c r="A694" s="8"/>
      <c r="B694" t="s">
        <v>52</v>
      </c>
      <c r="C694">
        <v>4</v>
      </c>
      <c r="D694" t="s">
        <v>71</v>
      </c>
      <c r="E694" s="9">
        <v>22000</v>
      </c>
      <c r="F694" s="9">
        <f t="shared" si="9"/>
        <v>88000</v>
      </c>
      <c r="H694" t="s">
        <v>151</v>
      </c>
      <c r="I694" s="9">
        <v>150000</v>
      </c>
      <c r="K694" t="s">
        <v>199</v>
      </c>
      <c r="L694" s="39">
        <v>4.5</v>
      </c>
    </row>
    <row r="695" spans="1:13" x14ac:dyDescent="0.25">
      <c r="A695" s="8"/>
      <c r="B695" t="s">
        <v>52</v>
      </c>
      <c r="C695">
        <v>40</v>
      </c>
      <c r="D695" t="s">
        <v>72</v>
      </c>
      <c r="E695" s="9">
        <v>23000</v>
      </c>
      <c r="F695" s="9">
        <f t="shared" si="9"/>
        <v>920000</v>
      </c>
      <c r="H695" t="s">
        <v>152</v>
      </c>
      <c r="I695" s="9">
        <f>+SUM(I689:I694)</f>
        <v>31378425.714285716</v>
      </c>
    </row>
    <row r="696" spans="1:13" x14ac:dyDescent="0.25">
      <c r="A696" s="8"/>
      <c r="B696" t="s">
        <v>45</v>
      </c>
      <c r="C696">
        <v>3</v>
      </c>
      <c r="D696" t="s">
        <v>72</v>
      </c>
      <c r="E696" s="9">
        <v>25000</v>
      </c>
      <c r="F696" s="9">
        <f t="shared" si="9"/>
        <v>75000</v>
      </c>
    </row>
    <row r="697" spans="1:13" x14ac:dyDescent="0.25">
      <c r="A697" s="8"/>
      <c r="B697" t="s">
        <v>45</v>
      </c>
      <c r="C697">
        <v>2</v>
      </c>
      <c r="D697" t="s">
        <v>174</v>
      </c>
      <c r="E697" s="9">
        <v>15000</v>
      </c>
      <c r="F697" s="9">
        <f t="shared" si="9"/>
        <v>30000</v>
      </c>
      <c r="H697" t="s">
        <v>153</v>
      </c>
      <c r="I697" s="9">
        <f>+SUM(F686:F898)</f>
        <v>61367000</v>
      </c>
    </row>
    <row r="698" spans="1:13" ht="15.75" thickBot="1" x14ac:dyDescent="0.3">
      <c r="A698" s="8"/>
      <c r="B698" t="s">
        <v>113</v>
      </c>
      <c r="C698">
        <v>4</v>
      </c>
      <c r="D698" t="s">
        <v>69</v>
      </c>
      <c r="E698" s="9">
        <v>27000</v>
      </c>
      <c r="F698" s="9">
        <f t="shared" si="9"/>
        <v>108000</v>
      </c>
    </row>
    <row r="699" spans="1:13" ht="15.75" thickBot="1" x14ac:dyDescent="0.3">
      <c r="A699" s="8">
        <v>45416</v>
      </c>
      <c r="B699" t="s">
        <v>100</v>
      </c>
      <c r="C699">
        <v>4</v>
      </c>
      <c r="D699" t="s">
        <v>69</v>
      </c>
      <c r="E699" s="9">
        <v>30000</v>
      </c>
      <c r="F699" s="9">
        <f t="shared" si="9"/>
        <v>120000</v>
      </c>
      <c r="H699" s="34" t="s">
        <v>154</v>
      </c>
      <c r="I699" s="35">
        <f>+I697-I695</f>
        <v>29988574.285714284</v>
      </c>
    </row>
    <row r="700" spans="1:13" x14ac:dyDescent="0.25">
      <c r="A700" s="8"/>
      <c r="B700" t="s">
        <v>74</v>
      </c>
      <c r="C700">
        <v>4</v>
      </c>
      <c r="D700" t="s">
        <v>69</v>
      </c>
      <c r="E700" s="9">
        <v>25000</v>
      </c>
      <c r="F700" s="9">
        <f t="shared" si="9"/>
        <v>100000</v>
      </c>
    </row>
    <row r="701" spans="1:13" x14ac:dyDescent="0.25">
      <c r="A701" s="8"/>
      <c r="B701" t="s">
        <v>211</v>
      </c>
      <c r="C701">
        <v>5</v>
      </c>
      <c r="D701" t="s">
        <v>69</v>
      </c>
      <c r="E701" s="9">
        <v>25000</v>
      </c>
      <c r="F701" s="9">
        <f t="shared" si="9"/>
        <v>125000</v>
      </c>
    </row>
    <row r="702" spans="1:13" x14ac:dyDescent="0.25">
      <c r="A702" s="8"/>
      <c r="B702" t="s">
        <v>52</v>
      </c>
      <c r="C702">
        <v>20</v>
      </c>
      <c r="D702" t="s">
        <v>71</v>
      </c>
      <c r="E702" s="9">
        <v>22000</v>
      </c>
      <c r="F702" s="9">
        <f t="shared" si="9"/>
        <v>440000</v>
      </c>
    </row>
    <row r="703" spans="1:13" x14ac:dyDescent="0.25">
      <c r="A703" s="8"/>
      <c r="B703" t="s">
        <v>52</v>
      </c>
      <c r="C703">
        <v>20</v>
      </c>
      <c r="D703" t="s">
        <v>72</v>
      </c>
      <c r="E703" s="9">
        <v>23000</v>
      </c>
      <c r="F703" s="9">
        <f t="shared" si="9"/>
        <v>460000</v>
      </c>
    </row>
    <row r="704" spans="1:13" x14ac:dyDescent="0.25">
      <c r="A704" s="8"/>
      <c r="B704" t="s">
        <v>52</v>
      </c>
      <c r="C704">
        <v>10</v>
      </c>
      <c r="D704" t="s">
        <v>69</v>
      </c>
      <c r="E704" s="9">
        <v>25000</v>
      </c>
      <c r="F704" s="9">
        <f t="shared" si="9"/>
        <v>250000</v>
      </c>
    </row>
    <row r="705" spans="1:6" x14ac:dyDescent="0.25">
      <c r="A705" s="8"/>
      <c r="B705" t="s">
        <v>42</v>
      </c>
      <c r="C705">
        <v>10</v>
      </c>
      <c r="D705" t="s">
        <v>72</v>
      </c>
      <c r="E705" s="9">
        <v>23000</v>
      </c>
      <c r="F705" s="9">
        <f t="shared" si="9"/>
        <v>230000</v>
      </c>
    </row>
    <row r="706" spans="1:6" x14ac:dyDescent="0.25">
      <c r="A706" s="8"/>
      <c r="B706" t="s">
        <v>42</v>
      </c>
      <c r="C706">
        <v>10</v>
      </c>
      <c r="D706" t="s">
        <v>69</v>
      </c>
      <c r="E706" s="9">
        <v>25000</v>
      </c>
      <c r="F706" s="9">
        <f t="shared" si="9"/>
        <v>250000</v>
      </c>
    </row>
    <row r="707" spans="1:6" x14ac:dyDescent="0.25">
      <c r="A707" s="8"/>
      <c r="B707" t="s">
        <v>119</v>
      </c>
      <c r="C707">
        <v>4</v>
      </c>
      <c r="D707" t="s">
        <v>72</v>
      </c>
      <c r="E707" s="9">
        <v>24000</v>
      </c>
      <c r="F707" s="9">
        <f t="shared" si="9"/>
        <v>96000</v>
      </c>
    </row>
    <row r="708" spans="1:6" x14ac:dyDescent="0.25">
      <c r="A708" s="8"/>
      <c r="B708" t="s">
        <v>211</v>
      </c>
      <c r="C708">
        <v>2</v>
      </c>
      <c r="D708" t="s">
        <v>72</v>
      </c>
      <c r="E708" s="9">
        <v>25000</v>
      </c>
      <c r="F708" s="9">
        <f t="shared" si="9"/>
        <v>50000</v>
      </c>
    </row>
    <row r="709" spans="1:6" x14ac:dyDescent="0.25">
      <c r="A709" s="8"/>
      <c r="B709" t="s">
        <v>177</v>
      </c>
      <c r="C709">
        <v>5</v>
      </c>
      <c r="D709" t="s">
        <v>72</v>
      </c>
      <c r="E709" s="9">
        <v>24000</v>
      </c>
      <c r="F709" s="9">
        <f t="shared" si="9"/>
        <v>120000</v>
      </c>
    </row>
    <row r="710" spans="1:6" x14ac:dyDescent="0.25">
      <c r="A710" s="8"/>
      <c r="B710" t="s">
        <v>210</v>
      </c>
      <c r="C710">
        <v>20</v>
      </c>
      <c r="D710" t="s">
        <v>72</v>
      </c>
      <c r="E710" s="9">
        <v>23000</v>
      </c>
      <c r="F710" s="9">
        <f t="shared" si="9"/>
        <v>460000</v>
      </c>
    </row>
    <row r="711" spans="1:6" x14ac:dyDescent="0.25">
      <c r="A711" s="8"/>
      <c r="B711" t="s">
        <v>210</v>
      </c>
      <c r="C711">
        <v>5</v>
      </c>
      <c r="D711" t="s">
        <v>71</v>
      </c>
      <c r="E711" s="9">
        <v>22000</v>
      </c>
      <c r="F711" s="9">
        <f t="shared" si="9"/>
        <v>110000</v>
      </c>
    </row>
    <row r="712" spans="1:6" x14ac:dyDescent="0.25">
      <c r="A712" s="8"/>
      <c r="B712" t="s">
        <v>85</v>
      </c>
      <c r="C712">
        <v>5</v>
      </c>
      <c r="D712" t="s">
        <v>69</v>
      </c>
      <c r="E712" s="9">
        <v>27000</v>
      </c>
      <c r="F712" s="9">
        <f t="shared" si="9"/>
        <v>135000</v>
      </c>
    </row>
    <row r="713" spans="1:6" x14ac:dyDescent="0.25">
      <c r="A713" s="8"/>
      <c r="B713" t="s">
        <v>212</v>
      </c>
      <c r="C713">
        <v>1</v>
      </c>
      <c r="D713" t="s">
        <v>72</v>
      </c>
      <c r="E713" s="9">
        <v>25000</v>
      </c>
      <c r="F713" s="9">
        <f t="shared" si="9"/>
        <v>25000</v>
      </c>
    </row>
    <row r="714" spans="1:6" x14ac:dyDescent="0.25">
      <c r="A714" s="8"/>
      <c r="B714" t="s">
        <v>212</v>
      </c>
      <c r="C714">
        <v>1</v>
      </c>
      <c r="D714" t="s">
        <v>69</v>
      </c>
      <c r="E714" s="9">
        <v>27000</v>
      </c>
      <c r="F714" s="9">
        <f t="shared" si="9"/>
        <v>27000</v>
      </c>
    </row>
    <row r="715" spans="1:6" x14ac:dyDescent="0.25">
      <c r="A715" s="8"/>
      <c r="B715" t="s">
        <v>212</v>
      </c>
      <c r="C715">
        <v>1</v>
      </c>
      <c r="D715" t="s">
        <v>174</v>
      </c>
      <c r="E715" s="9">
        <v>15000</v>
      </c>
      <c r="F715" s="9">
        <f t="shared" si="9"/>
        <v>15000</v>
      </c>
    </row>
    <row r="716" spans="1:6" x14ac:dyDescent="0.25">
      <c r="A716" s="8">
        <v>45417</v>
      </c>
      <c r="B716" t="s">
        <v>45</v>
      </c>
      <c r="C716">
        <v>5</v>
      </c>
      <c r="D716" t="s">
        <v>71</v>
      </c>
      <c r="E716" s="9">
        <v>23000</v>
      </c>
      <c r="F716" s="9">
        <f t="shared" si="9"/>
        <v>115000</v>
      </c>
    </row>
    <row r="717" spans="1:6" x14ac:dyDescent="0.25">
      <c r="A717" s="8">
        <v>45418</v>
      </c>
      <c r="B717" t="s">
        <v>85</v>
      </c>
      <c r="C717">
        <v>10</v>
      </c>
      <c r="D717" t="s">
        <v>69</v>
      </c>
      <c r="E717" s="9">
        <v>27000</v>
      </c>
      <c r="F717" s="9">
        <f t="shared" si="9"/>
        <v>270000</v>
      </c>
    </row>
    <row r="718" spans="1:6" x14ac:dyDescent="0.25">
      <c r="A718" s="8"/>
      <c r="B718" t="s">
        <v>85</v>
      </c>
      <c r="C718">
        <v>10</v>
      </c>
      <c r="D718" t="s">
        <v>72</v>
      </c>
      <c r="E718" s="9">
        <v>24000</v>
      </c>
      <c r="F718" s="9">
        <f t="shared" si="9"/>
        <v>240000</v>
      </c>
    </row>
    <row r="719" spans="1:6" x14ac:dyDescent="0.25">
      <c r="A719" s="8"/>
      <c r="B719" t="s">
        <v>117</v>
      </c>
      <c r="C719">
        <v>4</v>
      </c>
      <c r="D719" t="s">
        <v>69</v>
      </c>
      <c r="E719" s="9">
        <v>26000</v>
      </c>
      <c r="F719" s="9">
        <f t="shared" si="9"/>
        <v>104000</v>
      </c>
    </row>
    <row r="720" spans="1:6" x14ac:dyDescent="0.25">
      <c r="A720" s="8"/>
      <c r="B720" t="s">
        <v>52</v>
      </c>
      <c r="C720">
        <v>24</v>
      </c>
      <c r="D720" t="s">
        <v>71</v>
      </c>
      <c r="E720" s="9">
        <v>22000</v>
      </c>
      <c r="F720" s="9">
        <f t="shared" si="9"/>
        <v>528000</v>
      </c>
    </row>
    <row r="721" spans="1:6" x14ac:dyDescent="0.25">
      <c r="A721" s="8"/>
      <c r="B721" t="s">
        <v>52</v>
      </c>
      <c r="C721">
        <v>30</v>
      </c>
      <c r="D721" t="s">
        <v>72</v>
      </c>
      <c r="E721" s="9">
        <v>23000</v>
      </c>
      <c r="F721" s="9">
        <f t="shared" si="9"/>
        <v>690000</v>
      </c>
    </row>
    <row r="722" spans="1:6" x14ac:dyDescent="0.25">
      <c r="A722" s="8"/>
      <c r="B722" t="s">
        <v>52</v>
      </c>
      <c r="C722">
        <v>10</v>
      </c>
      <c r="D722" t="s">
        <v>69</v>
      </c>
      <c r="E722" s="9">
        <v>25000</v>
      </c>
      <c r="F722" s="9">
        <f t="shared" si="9"/>
        <v>250000</v>
      </c>
    </row>
    <row r="723" spans="1:6" x14ac:dyDescent="0.25">
      <c r="A723" s="8"/>
      <c r="B723" t="s">
        <v>213</v>
      </c>
      <c r="C723">
        <v>10</v>
      </c>
      <c r="D723" t="s">
        <v>72</v>
      </c>
      <c r="E723" s="9">
        <v>23000</v>
      </c>
      <c r="F723" s="9">
        <f t="shared" si="9"/>
        <v>230000</v>
      </c>
    </row>
    <row r="724" spans="1:6" x14ac:dyDescent="0.25">
      <c r="A724" s="8"/>
      <c r="B724" t="s">
        <v>74</v>
      </c>
      <c r="C724">
        <v>4</v>
      </c>
      <c r="D724" t="s">
        <v>72</v>
      </c>
      <c r="E724" s="9">
        <v>25000</v>
      </c>
      <c r="F724" s="9">
        <f t="shared" si="9"/>
        <v>100000</v>
      </c>
    </row>
    <row r="725" spans="1:6" x14ac:dyDescent="0.25">
      <c r="A725" s="8"/>
      <c r="B725" t="s">
        <v>181</v>
      </c>
      <c r="C725">
        <v>10</v>
      </c>
      <c r="D725" t="s">
        <v>71</v>
      </c>
      <c r="E725" s="9">
        <v>20000</v>
      </c>
      <c r="F725" s="9">
        <f t="shared" si="9"/>
        <v>200000</v>
      </c>
    </row>
    <row r="726" spans="1:6" x14ac:dyDescent="0.25">
      <c r="A726" s="8"/>
      <c r="B726" t="s">
        <v>39</v>
      </c>
      <c r="C726">
        <v>34</v>
      </c>
      <c r="D726" t="s">
        <v>72</v>
      </c>
      <c r="E726" s="9">
        <v>22000</v>
      </c>
      <c r="F726" s="9">
        <f t="shared" si="9"/>
        <v>748000</v>
      </c>
    </row>
    <row r="727" spans="1:6" x14ac:dyDescent="0.25">
      <c r="A727" s="8">
        <v>45419</v>
      </c>
      <c r="B727" t="s">
        <v>101</v>
      </c>
      <c r="C727">
        <v>10</v>
      </c>
      <c r="D727" t="s">
        <v>69</v>
      </c>
      <c r="E727" s="9">
        <v>25000</v>
      </c>
      <c r="F727" s="9">
        <f t="shared" si="9"/>
        <v>250000</v>
      </c>
    </row>
    <row r="728" spans="1:6" x14ac:dyDescent="0.25">
      <c r="A728" s="8"/>
      <c r="B728" t="s">
        <v>42</v>
      </c>
      <c r="C728">
        <v>10</v>
      </c>
      <c r="D728" t="s">
        <v>69</v>
      </c>
      <c r="E728" s="9">
        <v>25000</v>
      </c>
      <c r="F728" s="9">
        <f t="shared" si="9"/>
        <v>250000</v>
      </c>
    </row>
    <row r="729" spans="1:6" x14ac:dyDescent="0.25">
      <c r="A729" s="8"/>
      <c r="B729" t="s">
        <v>119</v>
      </c>
      <c r="C729">
        <v>4</v>
      </c>
      <c r="D729" t="s">
        <v>69</v>
      </c>
      <c r="E729" s="9">
        <v>26000</v>
      </c>
      <c r="F729" s="9">
        <f t="shared" si="9"/>
        <v>104000</v>
      </c>
    </row>
    <row r="730" spans="1:6" x14ac:dyDescent="0.25">
      <c r="A730" s="8"/>
      <c r="B730" t="s">
        <v>203</v>
      </c>
      <c r="C730">
        <v>1</v>
      </c>
      <c r="D730" t="s">
        <v>69</v>
      </c>
      <c r="E730" s="9">
        <v>25000</v>
      </c>
      <c r="F730" s="9">
        <f t="shared" si="9"/>
        <v>25000</v>
      </c>
    </row>
    <row r="731" spans="1:6" x14ac:dyDescent="0.25">
      <c r="A731" s="8"/>
      <c r="B731" t="s">
        <v>107</v>
      </c>
      <c r="C731">
        <v>3</v>
      </c>
      <c r="D731" t="s">
        <v>72</v>
      </c>
      <c r="E731" s="9">
        <v>25000</v>
      </c>
      <c r="F731" s="9">
        <f t="shared" si="9"/>
        <v>75000</v>
      </c>
    </row>
    <row r="732" spans="1:6" x14ac:dyDescent="0.25">
      <c r="A732" s="8">
        <v>45420</v>
      </c>
      <c r="B732" t="s">
        <v>200</v>
      </c>
      <c r="C732">
        <v>2</v>
      </c>
      <c r="D732" t="s">
        <v>72</v>
      </c>
      <c r="E732" s="9">
        <v>25000</v>
      </c>
      <c r="F732" s="9">
        <f t="shared" si="9"/>
        <v>50000</v>
      </c>
    </row>
    <row r="733" spans="1:6" x14ac:dyDescent="0.25">
      <c r="A733" s="8"/>
      <c r="B733" t="s">
        <v>89</v>
      </c>
      <c r="C733">
        <v>10</v>
      </c>
      <c r="D733" t="s">
        <v>72</v>
      </c>
      <c r="E733" s="9">
        <v>25000</v>
      </c>
      <c r="F733" s="9">
        <f t="shared" ref="F733:F796" si="10">+E733*C733</f>
        <v>250000</v>
      </c>
    </row>
    <row r="734" spans="1:6" x14ac:dyDescent="0.25">
      <c r="A734" s="8"/>
      <c r="B734" t="s">
        <v>52</v>
      </c>
      <c r="C734">
        <v>24</v>
      </c>
      <c r="D734" t="s">
        <v>69</v>
      </c>
      <c r="E734" s="9">
        <v>25000</v>
      </c>
      <c r="F734" s="9">
        <f t="shared" si="10"/>
        <v>600000</v>
      </c>
    </row>
    <row r="735" spans="1:6" x14ac:dyDescent="0.25">
      <c r="A735" s="8"/>
      <c r="B735" t="s">
        <v>52</v>
      </c>
      <c r="C735">
        <v>26</v>
      </c>
      <c r="D735" t="s">
        <v>71</v>
      </c>
      <c r="E735" s="9">
        <v>22000</v>
      </c>
      <c r="F735" s="9">
        <f t="shared" si="10"/>
        <v>572000</v>
      </c>
    </row>
    <row r="736" spans="1:6" x14ac:dyDescent="0.25">
      <c r="A736" s="8"/>
      <c r="B736" t="s">
        <v>52</v>
      </c>
      <c r="C736">
        <v>8</v>
      </c>
      <c r="D736" t="s">
        <v>96</v>
      </c>
      <c r="E736" s="9">
        <v>27000</v>
      </c>
      <c r="F736" s="9">
        <f t="shared" si="10"/>
        <v>216000</v>
      </c>
    </row>
    <row r="737" spans="1:6" x14ac:dyDescent="0.25">
      <c r="A737" s="8"/>
      <c r="B737" t="s">
        <v>82</v>
      </c>
      <c r="C737">
        <v>55</v>
      </c>
      <c r="D737" t="s">
        <v>72</v>
      </c>
      <c r="E737" s="9">
        <v>22000</v>
      </c>
      <c r="F737" s="9">
        <f t="shared" si="10"/>
        <v>1210000</v>
      </c>
    </row>
    <row r="738" spans="1:6" x14ac:dyDescent="0.25">
      <c r="A738" s="8">
        <v>45421</v>
      </c>
      <c r="B738" t="s">
        <v>52</v>
      </c>
      <c r="C738">
        <v>20</v>
      </c>
      <c r="D738" t="s">
        <v>71</v>
      </c>
      <c r="E738" s="9">
        <v>22000</v>
      </c>
      <c r="F738" s="9">
        <f t="shared" si="10"/>
        <v>440000</v>
      </c>
    </row>
    <row r="739" spans="1:6" x14ac:dyDescent="0.25">
      <c r="A739" s="8"/>
      <c r="B739" t="s">
        <v>52</v>
      </c>
      <c r="C739">
        <v>20</v>
      </c>
      <c r="D739" t="s">
        <v>72</v>
      </c>
      <c r="E739" s="9">
        <v>23000</v>
      </c>
      <c r="F739" s="9">
        <f t="shared" si="10"/>
        <v>460000</v>
      </c>
    </row>
    <row r="740" spans="1:6" x14ac:dyDescent="0.25">
      <c r="A740" s="8"/>
      <c r="B740" t="s">
        <v>52</v>
      </c>
      <c r="C740">
        <v>7</v>
      </c>
      <c r="D740" t="s">
        <v>69</v>
      </c>
      <c r="E740" s="9">
        <v>25000</v>
      </c>
      <c r="F740" s="9">
        <f t="shared" si="10"/>
        <v>175000</v>
      </c>
    </row>
    <row r="741" spans="1:6" x14ac:dyDescent="0.25">
      <c r="A741" s="8"/>
      <c r="B741" t="s">
        <v>82</v>
      </c>
      <c r="C741">
        <v>22</v>
      </c>
      <c r="D741" t="s">
        <v>71</v>
      </c>
      <c r="E741" s="9">
        <v>22000</v>
      </c>
      <c r="F741" s="9">
        <f t="shared" si="10"/>
        <v>484000</v>
      </c>
    </row>
    <row r="742" spans="1:6" x14ac:dyDescent="0.25">
      <c r="A742" s="8"/>
      <c r="B742" t="s">
        <v>102</v>
      </c>
      <c r="C742">
        <v>6</v>
      </c>
      <c r="D742" t="s">
        <v>96</v>
      </c>
      <c r="E742" s="9">
        <v>28000</v>
      </c>
      <c r="F742" s="9">
        <f t="shared" si="10"/>
        <v>168000</v>
      </c>
    </row>
    <row r="743" spans="1:6" x14ac:dyDescent="0.25">
      <c r="A743" s="8">
        <v>45422</v>
      </c>
      <c r="B743" t="s">
        <v>214</v>
      </c>
      <c r="C743">
        <v>7</v>
      </c>
      <c r="D743" t="s">
        <v>71</v>
      </c>
      <c r="E743" s="9">
        <v>23000</v>
      </c>
      <c r="F743" s="9">
        <f t="shared" si="10"/>
        <v>161000</v>
      </c>
    </row>
    <row r="744" spans="1:6" x14ac:dyDescent="0.25">
      <c r="A744" s="8"/>
      <c r="B744" t="s">
        <v>130</v>
      </c>
      <c r="C744">
        <v>10</v>
      </c>
      <c r="D744" t="s">
        <v>71</v>
      </c>
      <c r="E744" s="9">
        <v>23000</v>
      </c>
      <c r="F744" s="9">
        <f t="shared" si="10"/>
        <v>230000</v>
      </c>
    </row>
    <row r="745" spans="1:6" x14ac:dyDescent="0.25">
      <c r="A745" s="8"/>
      <c r="B745" t="s">
        <v>98</v>
      </c>
      <c r="C745">
        <v>10</v>
      </c>
      <c r="D745" t="s">
        <v>71</v>
      </c>
      <c r="E745" s="9">
        <v>23000</v>
      </c>
      <c r="F745" s="9">
        <f t="shared" si="10"/>
        <v>230000</v>
      </c>
    </row>
    <row r="746" spans="1:6" x14ac:dyDescent="0.25">
      <c r="A746" s="8"/>
      <c r="B746" t="s">
        <v>80</v>
      </c>
      <c r="C746">
        <v>15</v>
      </c>
      <c r="D746" t="s">
        <v>69</v>
      </c>
      <c r="E746" s="9">
        <v>25000</v>
      </c>
      <c r="F746" s="9">
        <f t="shared" si="10"/>
        <v>375000</v>
      </c>
    </row>
    <row r="747" spans="1:6" x14ac:dyDescent="0.25">
      <c r="A747" s="8"/>
      <c r="B747" t="s">
        <v>82</v>
      </c>
      <c r="C747">
        <v>40</v>
      </c>
      <c r="D747" t="s">
        <v>72</v>
      </c>
      <c r="E747" s="9">
        <v>22000</v>
      </c>
      <c r="F747" s="9">
        <f t="shared" si="10"/>
        <v>880000</v>
      </c>
    </row>
    <row r="748" spans="1:6" x14ac:dyDescent="0.25">
      <c r="A748" s="8"/>
      <c r="B748" t="s">
        <v>101</v>
      </c>
      <c r="C748">
        <v>10</v>
      </c>
      <c r="D748" t="s">
        <v>69</v>
      </c>
      <c r="E748" s="9">
        <v>25000</v>
      </c>
      <c r="F748" s="9">
        <f t="shared" si="10"/>
        <v>250000</v>
      </c>
    </row>
    <row r="749" spans="1:6" x14ac:dyDescent="0.25">
      <c r="A749" s="8">
        <v>45423</v>
      </c>
      <c r="B749" t="s">
        <v>213</v>
      </c>
      <c r="C749">
        <v>10</v>
      </c>
      <c r="D749" t="s">
        <v>72</v>
      </c>
      <c r="E749" s="9">
        <v>23000</v>
      </c>
      <c r="F749" s="9">
        <f t="shared" si="10"/>
        <v>230000</v>
      </c>
    </row>
    <row r="750" spans="1:6" x14ac:dyDescent="0.25">
      <c r="A750" s="8"/>
      <c r="B750" t="s">
        <v>52</v>
      </c>
      <c r="C750">
        <v>10</v>
      </c>
      <c r="D750" t="s">
        <v>71</v>
      </c>
      <c r="E750" s="9">
        <v>22000</v>
      </c>
      <c r="F750" s="9">
        <f t="shared" si="10"/>
        <v>220000</v>
      </c>
    </row>
    <row r="751" spans="1:6" x14ac:dyDescent="0.25">
      <c r="A751" s="8"/>
      <c r="B751" t="s">
        <v>52</v>
      </c>
      <c r="C751">
        <v>26</v>
      </c>
      <c r="D751" t="s">
        <v>72</v>
      </c>
      <c r="E751" s="9">
        <v>23000</v>
      </c>
      <c r="F751" s="9">
        <f t="shared" si="10"/>
        <v>598000</v>
      </c>
    </row>
    <row r="752" spans="1:6" x14ac:dyDescent="0.25">
      <c r="A752" s="8"/>
      <c r="B752" t="s">
        <v>52</v>
      </c>
      <c r="C752">
        <v>19</v>
      </c>
      <c r="D752" t="s">
        <v>69</v>
      </c>
      <c r="E752" s="9">
        <v>25000</v>
      </c>
      <c r="F752" s="9">
        <f t="shared" si="10"/>
        <v>475000</v>
      </c>
    </row>
    <row r="753" spans="1:6" x14ac:dyDescent="0.25">
      <c r="A753" s="8"/>
      <c r="B753" t="s">
        <v>203</v>
      </c>
      <c r="C753">
        <v>3</v>
      </c>
      <c r="D753" t="s">
        <v>71</v>
      </c>
      <c r="E753" s="9">
        <v>23000</v>
      </c>
      <c r="F753" s="9">
        <f t="shared" si="10"/>
        <v>69000</v>
      </c>
    </row>
    <row r="754" spans="1:6" x14ac:dyDescent="0.25">
      <c r="A754" s="8"/>
      <c r="B754" t="s">
        <v>118</v>
      </c>
      <c r="C754">
        <v>2</v>
      </c>
      <c r="D754" t="s">
        <v>71</v>
      </c>
      <c r="E754" s="9">
        <v>25000</v>
      </c>
      <c r="F754" s="9">
        <f t="shared" si="10"/>
        <v>50000</v>
      </c>
    </row>
    <row r="755" spans="1:6" x14ac:dyDescent="0.25">
      <c r="A755" s="8"/>
      <c r="B755" t="s">
        <v>181</v>
      </c>
      <c r="C755">
        <v>5</v>
      </c>
      <c r="D755" t="s">
        <v>71</v>
      </c>
      <c r="E755" s="9">
        <v>20000</v>
      </c>
      <c r="F755" s="9">
        <f t="shared" si="10"/>
        <v>100000</v>
      </c>
    </row>
    <row r="756" spans="1:6" x14ac:dyDescent="0.25">
      <c r="A756" s="8"/>
      <c r="B756" t="s">
        <v>135</v>
      </c>
      <c r="C756">
        <v>1</v>
      </c>
      <c r="D756" t="s">
        <v>69</v>
      </c>
      <c r="E756" s="9">
        <v>27000</v>
      </c>
      <c r="F756" s="9">
        <f t="shared" si="10"/>
        <v>27000</v>
      </c>
    </row>
    <row r="757" spans="1:6" x14ac:dyDescent="0.25">
      <c r="A757" s="8">
        <v>45425</v>
      </c>
      <c r="B757" t="s">
        <v>82</v>
      </c>
      <c r="C757">
        <v>54</v>
      </c>
      <c r="D757" t="s">
        <v>72</v>
      </c>
      <c r="E757" s="9">
        <v>22000</v>
      </c>
      <c r="F757" s="9">
        <f t="shared" si="10"/>
        <v>1188000</v>
      </c>
    </row>
    <row r="758" spans="1:6" x14ac:dyDescent="0.25">
      <c r="A758" s="8"/>
      <c r="B758" t="s">
        <v>119</v>
      </c>
      <c r="C758">
        <v>5</v>
      </c>
      <c r="D758" t="s">
        <v>69</v>
      </c>
      <c r="E758" s="9">
        <v>26000</v>
      </c>
      <c r="F758" s="9">
        <f t="shared" si="10"/>
        <v>130000</v>
      </c>
    </row>
    <row r="759" spans="1:6" x14ac:dyDescent="0.25">
      <c r="A759" s="8"/>
      <c r="B759" t="s">
        <v>52</v>
      </c>
      <c r="C759">
        <v>16</v>
      </c>
      <c r="D759" t="s">
        <v>71</v>
      </c>
      <c r="E759" s="9">
        <v>22000</v>
      </c>
      <c r="F759" s="9">
        <f t="shared" si="10"/>
        <v>352000</v>
      </c>
    </row>
    <row r="760" spans="1:6" x14ac:dyDescent="0.25">
      <c r="A760" s="8"/>
      <c r="B760" t="s">
        <v>52</v>
      </c>
      <c r="C760">
        <v>10</v>
      </c>
      <c r="D760" t="s">
        <v>72</v>
      </c>
      <c r="E760" s="9">
        <v>23000</v>
      </c>
      <c r="F760" s="9">
        <f t="shared" si="10"/>
        <v>230000</v>
      </c>
    </row>
    <row r="761" spans="1:6" x14ac:dyDescent="0.25">
      <c r="A761" s="8"/>
      <c r="B761" t="s">
        <v>42</v>
      </c>
      <c r="C761">
        <v>15</v>
      </c>
      <c r="D761" t="s">
        <v>69</v>
      </c>
      <c r="E761" s="9">
        <v>25000</v>
      </c>
      <c r="F761" s="9">
        <f t="shared" si="10"/>
        <v>375000</v>
      </c>
    </row>
    <row r="762" spans="1:6" x14ac:dyDescent="0.25">
      <c r="A762" s="8"/>
      <c r="B762" t="s">
        <v>181</v>
      </c>
      <c r="C762">
        <v>5</v>
      </c>
      <c r="D762" t="s">
        <v>71</v>
      </c>
      <c r="E762" s="9">
        <v>20000</v>
      </c>
      <c r="F762" s="9">
        <f t="shared" si="10"/>
        <v>100000</v>
      </c>
    </row>
    <row r="763" spans="1:6" x14ac:dyDescent="0.25">
      <c r="A763" s="8"/>
      <c r="B763" t="s">
        <v>101</v>
      </c>
      <c r="C763">
        <v>12</v>
      </c>
      <c r="D763" t="s">
        <v>69</v>
      </c>
      <c r="E763" s="9">
        <v>25000</v>
      </c>
      <c r="F763" s="9">
        <f t="shared" si="10"/>
        <v>300000</v>
      </c>
    </row>
    <row r="764" spans="1:6" x14ac:dyDescent="0.25">
      <c r="A764" s="8"/>
      <c r="B764" t="s">
        <v>45</v>
      </c>
      <c r="C764">
        <v>2</v>
      </c>
      <c r="D764" t="s">
        <v>69</v>
      </c>
      <c r="E764" s="9">
        <v>27000</v>
      </c>
      <c r="F764" s="9">
        <f t="shared" si="10"/>
        <v>54000</v>
      </c>
    </row>
    <row r="765" spans="1:6" x14ac:dyDescent="0.25">
      <c r="A765" s="8"/>
      <c r="B765" t="s">
        <v>39</v>
      </c>
      <c r="C765">
        <v>32</v>
      </c>
      <c r="D765" t="s">
        <v>72</v>
      </c>
      <c r="E765" s="9">
        <v>22000</v>
      </c>
      <c r="F765" s="9">
        <f t="shared" si="10"/>
        <v>704000</v>
      </c>
    </row>
    <row r="766" spans="1:6" x14ac:dyDescent="0.25">
      <c r="A766" s="8">
        <v>45426</v>
      </c>
      <c r="B766" t="s">
        <v>213</v>
      </c>
      <c r="C766">
        <v>9</v>
      </c>
      <c r="D766" t="s">
        <v>72</v>
      </c>
      <c r="E766" s="9">
        <v>23000</v>
      </c>
      <c r="F766" s="9">
        <f t="shared" si="10"/>
        <v>207000</v>
      </c>
    </row>
    <row r="767" spans="1:6" x14ac:dyDescent="0.25">
      <c r="A767" s="8"/>
      <c r="B767" t="s">
        <v>52</v>
      </c>
      <c r="C767">
        <v>16</v>
      </c>
      <c r="D767" t="s">
        <v>71</v>
      </c>
      <c r="E767" s="9">
        <v>22000</v>
      </c>
      <c r="F767" s="9">
        <f t="shared" si="10"/>
        <v>352000</v>
      </c>
    </row>
    <row r="768" spans="1:6" x14ac:dyDescent="0.25">
      <c r="A768" s="8"/>
      <c r="B768" t="s">
        <v>52</v>
      </c>
      <c r="C768">
        <v>27</v>
      </c>
      <c r="D768" t="s">
        <v>72</v>
      </c>
      <c r="E768" s="9">
        <v>23000</v>
      </c>
      <c r="F768" s="9">
        <f t="shared" si="10"/>
        <v>621000</v>
      </c>
    </row>
    <row r="769" spans="1:6" x14ac:dyDescent="0.25">
      <c r="A769" s="8"/>
      <c r="B769" t="s">
        <v>52</v>
      </c>
      <c r="C769">
        <v>20</v>
      </c>
      <c r="D769" t="s">
        <v>69</v>
      </c>
      <c r="E769" s="9">
        <v>25000</v>
      </c>
      <c r="F769" s="9">
        <f t="shared" si="10"/>
        <v>500000</v>
      </c>
    </row>
    <row r="770" spans="1:6" x14ac:dyDescent="0.25">
      <c r="A770" s="8"/>
      <c r="B770" t="s">
        <v>52</v>
      </c>
      <c r="C770">
        <v>9</v>
      </c>
      <c r="D770" t="s">
        <v>96</v>
      </c>
      <c r="E770" s="9">
        <v>27000</v>
      </c>
      <c r="F770" s="9">
        <f t="shared" si="10"/>
        <v>243000</v>
      </c>
    </row>
    <row r="771" spans="1:6" x14ac:dyDescent="0.25">
      <c r="A771" s="8">
        <v>45427</v>
      </c>
      <c r="B771" t="s">
        <v>211</v>
      </c>
      <c r="C771">
        <v>6</v>
      </c>
      <c r="D771" t="s">
        <v>69</v>
      </c>
      <c r="E771" s="9">
        <v>27000</v>
      </c>
      <c r="F771" s="9">
        <f t="shared" si="10"/>
        <v>162000</v>
      </c>
    </row>
    <row r="772" spans="1:6" x14ac:dyDescent="0.25">
      <c r="A772" s="8">
        <v>45428</v>
      </c>
      <c r="B772" t="s">
        <v>87</v>
      </c>
      <c r="C772">
        <v>10</v>
      </c>
      <c r="D772" t="s">
        <v>69</v>
      </c>
      <c r="E772" s="9">
        <v>25000</v>
      </c>
      <c r="F772" s="9">
        <f t="shared" si="10"/>
        <v>250000</v>
      </c>
    </row>
    <row r="773" spans="1:6" x14ac:dyDescent="0.25">
      <c r="A773" s="8"/>
      <c r="B773" t="s">
        <v>39</v>
      </c>
      <c r="C773">
        <v>35</v>
      </c>
      <c r="D773" t="s">
        <v>72</v>
      </c>
      <c r="E773" s="9">
        <v>22000</v>
      </c>
      <c r="F773" s="9">
        <f t="shared" si="10"/>
        <v>770000</v>
      </c>
    </row>
    <row r="774" spans="1:6" x14ac:dyDescent="0.25">
      <c r="A774" s="8"/>
      <c r="B774" t="s">
        <v>45</v>
      </c>
      <c r="C774">
        <v>2</v>
      </c>
      <c r="D774" t="s">
        <v>72</v>
      </c>
      <c r="E774" s="9">
        <v>25000</v>
      </c>
      <c r="F774" s="9">
        <f t="shared" si="10"/>
        <v>50000</v>
      </c>
    </row>
    <row r="775" spans="1:6" x14ac:dyDescent="0.25">
      <c r="A775" s="8"/>
      <c r="B775" t="s">
        <v>45</v>
      </c>
      <c r="C775">
        <v>1</v>
      </c>
      <c r="D775" t="s">
        <v>174</v>
      </c>
      <c r="E775" s="9">
        <v>15000</v>
      </c>
      <c r="F775" s="9">
        <f t="shared" si="10"/>
        <v>15000</v>
      </c>
    </row>
    <row r="776" spans="1:6" x14ac:dyDescent="0.25">
      <c r="A776" s="8">
        <v>45429</v>
      </c>
      <c r="B776" t="s">
        <v>52</v>
      </c>
      <c r="C776">
        <v>23</v>
      </c>
      <c r="D776" t="s">
        <v>71</v>
      </c>
      <c r="E776" s="9">
        <v>22000</v>
      </c>
      <c r="F776" s="9">
        <f t="shared" si="10"/>
        <v>506000</v>
      </c>
    </row>
    <row r="777" spans="1:6" x14ac:dyDescent="0.25">
      <c r="A777" s="8"/>
      <c r="B777" t="s">
        <v>52</v>
      </c>
      <c r="C777">
        <v>50</v>
      </c>
      <c r="D777" t="s">
        <v>72</v>
      </c>
      <c r="E777" s="9">
        <v>23000</v>
      </c>
      <c r="F777" s="9">
        <f t="shared" si="10"/>
        <v>1150000</v>
      </c>
    </row>
    <row r="778" spans="1:6" x14ac:dyDescent="0.25">
      <c r="B778" t="s">
        <v>213</v>
      </c>
      <c r="C778">
        <v>10</v>
      </c>
      <c r="D778" t="s">
        <v>72</v>
      </c>
      <c r="E778" s="9">
        <v>23000</v>
      </c>
      <c r="F778" s="9">
        <f t="shared" si="10"/>
        <v>230000</v>
      </c>
    </row>
    <row r="779" spans="1:6" x14ac:dyDescent="0.25">
      <c r="A779" s="8"/>
      <c r="B779" t="s">
        <v>203</v>
      </c>
      <c r="C779">
        <v>3</v>
      </c>
      <c r="D779" t="s">
        <v>71</v>
      </c>
      <c r="E779" s="9">
        <v>23000</v>
      </c>
      <c r="F779" s="9">
        <f t="shared" si="10"/>
        <v>69000</v>
      </c>
    </row>
    <row r="780" spans="1:6" x14ac:dyDescent="0.25">
      <c r="A780" s="8">
        <v>45430</v>
      </c>
      <c r="B780" t="s">
        <v>101</v>
      </c>
      <c r="C780">
        <v>10</v>
      </c>
      <c r="D780" t="s">
        <v>69</v>
      </c>
      <c r="E780" s="9">
        <v>25000</v>
      </c>
      <c r="F780" s="9">
        <f t="shared" si="10"/>
        <v>250000</v>
      </c>
    </row>
    <row r="781" spans="1:6" x14ac:dyDescent="0.25">
      <c r="A781" s="8"/>
      <c r="B781" t="s">
        <v>119</v>
      </c>
      <c r="C781">
        <v>5</v>
      </c>
      <c r="D781" t="s">
        <v>69</v>
      </c>
      <c r="E781" s="9">
        <v>25000</v>
      </c>
      <c r="F781" s="9">
        <f t="shared" si="10"/>
        <v>125000</v>
      </c>
    </row>
    <row r="782" spans="1:6" x14ac:dyDescent="0.25">
      <c r="A782" s="8"/>
      <c r="B782" t="s">
        <v>42</v>
      </c>
      <c r="C782">
        <v>20</v>
      </c>
      <c r="D782" t="s">
        <v>69</v>
      </c>
      <c r="E782" s="9">
        <v>24000</v>
      </c>
      <c r="F782" s="9">
        <f t="shared" si="10"/>
        <v>480000</v>
      </c>
    </row>
    <row r="783" spans="1:6" x14ac:dyDescent="0.25">
      <c r="A783" s="8"/>
      <c r="B783" t="s">
        <v>82</v>
      </c>
      <c r="C783">
        <v>22</v>
      </c>
      <c r="D783" t="s">
        <v>69</v>
      </c>
      <c r="E783" s="9">
        <v>23000</v>
      </c>
      <c r="F783" s="9">
        <f t="shared" si="10"/>
        <v>506000</v>
      </c>
    </row>
    <row r="784" spans="1:6" x14ac:dyDescent="0.25">
      <c r="A784" s="8"/>
      <c r="B784" t="s">
        <v>82</v>
      </c>
      <c r="C784">
        <v>36</v>
      </c>
      <c r="D784" t="s">
        <v>72</v>
      </c>
      <c r="E784" s="9">
        <v>22000</v>
      </c>
      <c r="F784" s="9">
        <f t="shared" si="10"/>
        <v>792000</v>
      </c>
    </row>
    <row r="785" spans="1:6" x14ac:dyDescent="0.25">
      <c r="A785" s="8">
        <v>45431</v>
      </c>
      <c r="B785" t="s">
        <v>85</v>
      </c>
      <c r="C785">
        <v>10</v>
      </c>
      <c r="D785" t="s">
        <v>69</v>
      </c>
      <c r="E785" s="9">
        <v>25000</v>
      </c>
      <c r="F785" s="9">
        <f t="shared" si="10"/>
        <v>250000</v>
      </c>
    </row>
    <row r="786" spans="1:6" x14ac:dyDescent="0.25">
      <c r="A786" s="8"/>
      <c r="B786" t="s">
        <v>45</v>
      </c>
      <c r="C786">
        <v>2</v>
      </c>
      <c r="D786" t="s">
        <v>69</v>
      </c>
      <c r="E786" s="9">
        <v>25000</v>
      </c>
      <c r="F786" s="9">
        <f t="shared" si="10"/>
        <v>50000</v>
      </c>
    </row>
    <row r="787" spans="1:6" x14ac:dyDescent="0.25">
      <c r="A787" s="8"/>
      <c r="B787" t="s">
        <v>45</v>
      </c>
      <c r="C787">
        <v>2</v>
      </c>
      <c r="D787" t="s">
        <v>174</v>
      </c>
      <c r="E787" s="9">
        <v>15000</v>
      </c>
      <c r="F787" s="9">
        <f t="shared" si="10"/>
        <v>30000</v>
      </c>
    </row>
    <row r="788" spans="1:6" x14ac:dyDescent="0.25">
      <c r="A788" s="8"/>
      <c r="B788" t="s">
        <v>52</v>
      </c>
      <c r="C788">
        <v>40</v>
      </c>
      <c r="D788" t="s">
        <v>72</v>
      </c>
      <c r="E788" s="9">
        <v>23000</v>
      </c>
      <c r="F788" s="9">
        <f t="shared" si="10"/>
        <v>920000</v>
      </c>
    </row>
    <row r="789" spans="1:6" x14ac:dyDescent="0.25">
      <c r="A789" s="8"/>
      <c r="B789" t="s">
        <v>52</v>
      </c>
      <c r="C789">
        <v>6</v>
      </c>
      <c r="D789" t="s">
        <v>71</v>
      </c>
      <c r="E789" s="9">
        <v>22000</v>
      </c>
      <c r="F789" s="9">
        <f t="shared" si="10"/>
        <v>132000</v>
      </c>
    </row>
    <row r="790" spans="1:6" x14ac:dyDescent="0.25">
      <c r="A790" s="8"/>
      <c r="B790" t="s">
        <v>130</v>
      </c>
      <c r="C790">
        <v>10</v>
      </c>
      <c r="D790" t="s">
        <v>71</v>
      </c>
      <c r="E790" s="9">
        <v>22000</v>
      </c>
      <c r="F790" s="9">
        <f t="shared" si="10"/>
        <v>220000</v>
      </c>
    </row>
    <row r="791" spans="1:6" x14ac:dyDescent="0.25">
      <c r="A791" s="8"/>
      <c r="B791" t="s">
        <v>177</v>
      </c>
      <c r="C791">
        <v>5</v>
      </c>
      <c r="D791" t="s">
        <v>69</v>
      </c>
      <c r="E791" s="9">
        <v>24000</v>
      </c>
      <c r="F791" s="9">
        <f t="shared" si="10"/>
        <v>120000</v>
      </c>
    </row>
    <row r="792" spans="1:6" x14ac:dyDescent="0.25">
      <c r="A792" s="8"/>
      <c r="B792" t="s">
        <v>177</v>
      </c>
      <c r="C792">
        <v>5</v>
      </c>
      <c r="D792" t="s">
        <v>71</v>
      </c>
      <c r="E792" s="9">
        <v>23000</v>
      </c>
      <c r="F792" s="9">
        <f t="shared" si="10"/>
        <v>115000</v>
      </c>
    </row>
    <row r="793" spans="1:6" x14ac:dyDescent="0.25">
      <c r="A793" s="8"/>
      <c r="B793" t="s">
        <v>45</v>
      </c>
      <c r="C793">
        <v>2</v>
      </c>
      <c r="D793" t="s">
        <v>96</v>
      </c>
      <c r="E793" s="9">
        <v>30000</v>
      </c>
      <c r="F793" s="9">
        <f t="shared" si="10"/>
        <v>60000</v>
      </c>
    </row>
    <row r="794" spans="1:6" x14ac:dyDescent="0.25">
      <c r="A794" s="8"/>
      <c r="B794" t="s">
        <v>45</v>
      </c>
      <c r="C794">
        <v>2</v>
      </c>
      <c r="D794" t="s">
        <v>72</v>
      </c>
      <c r="E794" s="9">
        <v>26000</v>
      </c>
      <c r="F794" s="9">
        <f t="shared" si="10"/>
        <v>52000</v>
      </c>
    </row>
    <row r="795" spans="1:6" x14ac:dyDescent="0.25">
      <c r="A795" s="8">
        <v>45432</v>
      </c>
      <c r="B795" t="s">
        <v>82</v>
      </c>
      <c r="C795">
        <v>68</v>
      </c>
      <c r="D795" t="s">
        <v>72</v>
      </c>
      <c r="E795" s="9">
        <v>22000</v>
      </c>
      <c r="F795" s="9">
        <f t="shared" si="10"/>
        <v>1496000</v>
      </c>
    </row>
    <row r="796" spans="1:6" x14ac:dyDescent="0.25">
      <c r="A796" s="8"/>
      <c r="B796" t="s">
        <v>52</v>
      </c>
      <c r="C796">
        <v>21</v>
      </c>
      <c r="D796" t="s">
        <v>72</v>
      </c>
      <c r="E796" s="9">
        <v>23000</v>
      </c>
      <c r="F796" s="9">
        <f t="shared" si="10"/>
        <v>483000</v>
      </c>
    </row>
    <row r="797" spans="1:6" x14ac:dyDescent="0.25">
      <c r="A797" s="8"/>
      <c r="B797" t="s">
        <v>52</v>
      </c>
      <c r="C797">
        <v>20</v>
      </c>
      <c r="D797" t="s">
        <v>69</v>
      </c>
      <c r="E797" s="9">
        <v>24000</v>
      </c>
      <c r="F797" s="9">
        <f t="shared" ref="F797:F860" si="11">+E797*C797</f>
        <v>480000</v>
      </c>
    </row>
    <row r="798" spans="1:6" x14ac:dyDescent="0.25">
      <c r="A798" s="8"/>
      <c r="B798" t="s">
        <v>52</v>
      </c>
      <c r="C798">
        <v>5</v>
      </c>
      <c r="D798" t="s">
        <v>71</v>
      </c>
      <c r="E798" s="9">
        <v>22000</v>
      </c>
      <c r="F798" s="9">
        <f t="shared" si="11"/>
        <v>110000</v>
      </c>
    </row>
    <row r="799" spans="1:6" x14ac:dyDescent="0.25">
      <c r="A799" s="8">
        <v>45433</v>
      </c>
      <c r="B799" t="s">
        <v>215</v>
      </c>
      <c r="C799">
        <v>5</v>
      </c>
      <c r="D799" t="s">
        <v>96</v>
      </c>
      <c r="E799" s="9">
        <v>28000</v>
      </c>
      <c r="F799" s="9">
        <f t="shared" si="11"/>
        <v>140000</v>
      </c>
    </row>
    <row r="800" spans="1:6" x14ac:dyDescent="0.25">
      <c r="A800" s="8"/>
      <c r="B800" t="s">
        <v>98</v>
      </c>
      <c r="C800">
        <v>10</v>
      </c>
      <c r="D800" t="s">
        <v>71</v>
      </c>
      <c r="E800" s="9">
        <v>23000</v>
      </c>
      <c r="F800" s="9">
        <f t="shared" si="11"/>
        <v>230000</v>
      </c>
    </row>
    <row r="801" spans="1:6" x14ac:dyDescent="0.25">
      <c r="A801" s="8"/>
      <c r="B801" t="s">
        <v>42</v>
      </c>
      <c r="C801">
        <v>10</v>
      </c>
      <c r="D801" t="s">
        <v>69</v>
      </c>
      <c r="E801" s="9">
        <v>24000</v>
      </c>
      <c r="F801" s="9">
        <f t="shared" si="11"/>
        <v>240000</v>
      </c>
    </row>
    <row r="802" spans="1:6" x14ac:dyDescent="0.25">
      <c r="A802" s="8"/>
      <c r="B802" t="s">
        <v>89</v>
      </c>
      <c r="C802">
        <v>10</v>
      </c>
      <c r="D802" t="s">
        <v>72</v>
      </c>
      <c r="E802" s="9">
        <v>25000</v>
      </c>
      <c r="F802" s="9">
        <f t="shared" si="11"/>
        <v>250000</v>
      </c>
    </row>
    <row r="803" spans="1:6" x14ac:dyDescent="0.25">
      <c r="A803" s="8"/>
      <c r="B803" t="s">
        <v>64</v>
      </c>
      <c r="C803">
        <v>3</v>
      </c>
      <c r="D803" t="s">
        <v>72</v>
      </c>
      <c r="E803" s="9">
        <v>25000</v>
      </c>
      <c r="F803" s="9">
        <f t="shared" si="11"/>
        <v>75000</v>
      </c>
    </row>
    <row r="804" spans="1:6" x14ac:dyDescent="0.25">
      <c r="A804" s="8"/>
      <c r="B804" t="s">
        <v>45</v>
      </c>
      <c r="C804">
        <v>1</v>
      </c>
      <c r="D804" t="s">
        <v>174</v>
      </c>
      <c r="E804" s="9">
        <v>15000</v>
      </c>
      <c r="F804" s="9">
        <f t="shared" si="11"/>
        <v>15000</v>
      </c>
    </row>
    <row r="805" spans="1:6" x14ac:dyDescent="0.25">
      <c r="A805" s="8">
        <v>45434</v>
      </c>
      <c r="B805" t="s">
        <v>39</v>
      </c>
      <c r="C805">
        <v>33</v>
      </c>
      <c r="D805" t="s">
        <v>72</v>
      </c>
      <c r="E805" s="9">
        <v>22000</v>
      </c>
      <c r="F805" s="9">
        <f t="shared" si="11"/>
        <v>726000</v>
      </c>
    </row>
    <row r="806" spans="1:6" x14ac:dyDescent="0.25">
      <c r="A806" s="8"/>
      <c r="B806" t="s">
        <v>80</v>
      </c>
      <c r="C806">
        <v>15</v>
      </c>
      <c r="D806" t="s">
        <v>69</v>
      </c>
      <c r="E806" s="9">
        <v>25000</v>
      </c>
      <c r="F806" s="9">
        <f t="shared" si="11"/>
        <v>375000</v>
      </c>
    </row>
    <row r="807" spans="1:6" x14ac:dyDescent="0.25">
      <c r="A807" s="8"/>
      <c r="B807" t="s">
        <v>82</v>
      </c>
      <c r="C807">
        <v>42</v>
      </c>
      <c r="D807" t="s">
        <v>72</v>
      </c>
      <c r="E807" s="9">
        <v>22000</v>
      </c>
      <c r="F807" s="9">
        <f t="shared" si="11"/>
        <v>924000</v>
      </c>
    </row>
    <row r="808" spans="1:6" x14ac:dyDescent="0.25">
      <c r="A808" s="8"/>
      <c r="B808" t="s">
        <v>82</v>
      </c>
      <c r="C808">
        <v>5</v>
      </c>
      <c r="D808" t="s">
        <v>69</v>
      </c>
      <c r="E808" s="9">
        <v>23000</v>
      </c>
      <c r="F808" s="9">
        <f t="shared" si="11"/>
        <v>115000</v>
      </c>
    </row>
    <row r="809" spans="1:6" x14ac:dyDescent="0.25">
      <c r="A809" s="8"/>
      <c r="B809" t="s">
        <v>130</v>
      </c>
      <c r="C809">
        <v>10</v>
      </c>
      <c r="D809" t="s">
        <v>71</v>
      </c>
      <c r="E809" s="9">
        <v>23000</v>
      </c>
      <c r="F809" s="9">
        <f t="shared" si="11"/>
        <v>230000</v>
      </c>
    </row>
    <row r="810" spans="1:6" x14ac:dyDescent="0.25">
      <c r="A810" s="8">
        <v>45435</v>
      </c>
      <c r="B810" t="s">
        <v>82</v>
      </c>
      <c r="C810">
        <v>41</v>
      </c>
      <c r="D810" t="s">
        <v>72</v>
      </c>
      <c r="E810" s="9">
        <v>22000</v>
      </c>
      <c r="F810" s="9">
        <f t="shared" si="11"/>
        <v>902000</v>
      </c>
    </row>
    <row r="811" spans="1:6" x14ac:dyDescent="0.25">
      <c r="A811" s="8"/>
      <c r="B811" t="s">
        <v>82</v>
      </c>
      <c r="C811">
        <v>9</v>
      </c>
      <c r="D811" t="s">
        <v>69</v>
      </c>
      <c r="E811" s="9">
        <v>23000</v>
      </c>
      <c r="F811" s="9">
        <f t="shared" si="11"/>
        <v>207000</v>
      </c>
    </row>
    <row r="812" spans="1:6" x14ac:dyDescent="0.25">
      <c r="A812" s="8"/>
      <c r="B812" t="s">
        <v>52</v>
      </c>
      <c r="C812">
        <v>10</v>
      </c>
      <c r="D812" t="s">
        <v>71</v>
      </c>
      <c r="E812" s="9">
        <v>22000</v>
      </c>
      <c r="F812" s="9">
        <f t="shared" si="11"/>
        <v>220000</v>
      </c>
    </row>
    <row r="813" spans="1:6" x14ac:dyDescent="0.25">
      <c r="A813" s="8"/>
      <c r="B813" t="s">
        <v>52</v>
      </c>
      <c r="C813">
        <v>10</v>
      </c>
      <c r="D813" t="s">
        <v>72</v>
      </c>
      <c r="E813" s="9">
        <v>23000</v>
      </c>
      <c r="F813" s="9">
        <f t="shared" si="11"/>
        <v>230000</v>
      </c>
    </row>
    <row r="814" spans="1:6" x14ac:dyDescent="0.25">
      <c r="A814" s="8"/>
      <c r="B814" t="s">
        <v>52</v>
      </c>
      <c r="C814">
        <v>10</v>
      </c>
      <c r="D814" t="s">
        <v>69</v>
      </c>
      <c r="E814" s="9">
        <v>24000</v>
      </c>
      <c r="F814" s="9">
        <f t="shared" si="11"/>
        <v>240000</v>
      </c>
    </row>
    <row r="815" spans="1:6" x14ac:dyDescent="0.25">
      <c r="A815" s="8">
        <v>45436</v>
      </c>
      <c r="B815" t="s">
        <v>200</v>
      </c>
      <c r="C815">
        <v>3</v>
      </c>
      <c r="D815" t="s">
        <v>72</v>
      </c>
      <c r="E815" s="9">
        <v>25000</v>
      </c>
      <c r="F815" s="9">
        <f t="shared" si="11"/>
        <v>75000</v>
      </c>
    </row>
    <row r="816" spans="1:6" x14ac:dyDescent="0.25">
      <c r="A816" s="8"/>
      <c r="B816" t="s">
        <v>101</v>
      </c>
      <c r="C816">
        <v>10</v>
      </c>
      <c r="D816" t="s">
        <v>69</v>
      </c>
      <c r="E816" s="9">
        <v>25000</v>
      </c>
      <c r="F816" s="9">
        <f t="shared" si="11"/>
        <v>250000</v>
      </c>
    </row>
    <row r="817" spans="1:6" x14ac:dyDescent="0.25">
      <c r="A817" s="8">
        <v>45437</v>
      </c>
      <c r="B817" t="s">
        <v>52</v>
      </c>
      <c r="C817">
        <v>8</v>
      </c>
      <c r="D817" t="s">
        <v>71</v>
      </c>
      <c r="E817" s="9">
        <v>22000</v>
      </c>
      <c r="F817" s="9">
        <f t="shared" si="11"/>
        <v>176000</v>
      </c>
    </row>
    <row r="818" spans="1:6" x14ac:dyDescent="0.25">
      <c r="A818" s="8"/>
      <c r="B818" t="s">
        <v>52</v>
      </c>
      <c r="C818">
        <v>20</v>
      </c>
      <c r="D818" t="s">
        <v>72</v>
      </c>
      <c r="E818" s="9">
        <v>23000</v>
      </c>
      <c r="F818" s="9">
        <f t="shared" si="11"/>
        <v>460000</v>
      </c>
    </row>
    <row r="819" spans="1:6" x14ac:dyDescent="0.25">
      <c r="A819" s="8"/>
      <c r="B819" t="s">
        <v>52</v>
      </c>
      <c r="C819">
        <v>10</v>
      </c>
      <c r="D819" t="s">
        <v>69</v>
      </c>
      <c r="E819" s="9">
        <v>24000</v>
      </c>
      <c r="F819" s="9">
        <f t="shared" si="11"/>
        <v>240000</v>
      </c>
    </row>
    <row r="820" spans="1:6" x14ac:dyDescent="0.25">
      <c r="A820" s="8"/>
      <c r="B820" t="s">
        <v>82</v>
      </c>
      <c r="C820">
        <v>30</v>
      </c>
      <c r="D820" t="s">
        <v>72</v>
      </c>
      <c r="E820" s="9">
        <v>22000</v>
      </c>
      <c r="F820" s="9">
        <f t="shared" si="11"/>
        <v>660000</v>
      </c>
    </row>
    <row r="821" spans="1:6" x14ac:dyDescent="0.25">
      <c r="A821" s="8"/>
      <c r="B821" t="s">
        <v>119</v>
      </c>
      <c r="C821">
        <v>5</v>
      </c>
      <c r="D821" t="s">
        <v>69</v>
      </c>
      <c r="E821" s="9">
        <v>25000</v>
      </c>
      <c r="F821" s="9">
        <f t="shared" si="11"/>
        <v>125000</v>
      </c>
    </row>
    <row r="822" spans="1:6" x14ac:dyDescent="0.25">
      <c r="A822" s="8"/>
      <c r="B822" t="s">
        <v>101</v>
      </c>
      <c r="C822">
        <v>10</v>
      </c>
      <c r="D822" t="s">
        <v>69</v>
      </c>
      <c r="E822" s="9">
        <v>25000</v>
      </c>
      <c r="F822" s="9">
        <f t="shared" si="11"/>
        <v>250000</v>
      </c>
    </row>
    <row r="823" spans="1:6" x14ac:dyDescent="0.25">
      <c r="A823" s="8"/>
      <c r="B823" t="s">
        <v>203</v>
      </c>
      <c r="C823">
        <v>3</v>
      </c>
      <c r="D823" t="s">
        <v>69</v>
      </c>
      <c r="E823" s="9">
        <v>25000</v>
      </c>
      <c r="F823" s="9">
        <f t="shared" si="11"/>
        <v>75000</v>
      </c>
    </row>
    <row r="824" spans="1:6" x14ac:dyDescent="0.25">
      <c r="A824" s="8"/>
      <c r="B824" t="s">
        <v>177</v>
      </c>
      <c r="C824">
        <v>10</v>
      </c>
      <c r="D824" t="s">
        <v>72</v>
      </c>
      <c r="E824" s="9">
        <v>24000</v>
      </c>
      <c r="F824" s="9">
        <f t="shared" si="11"/>
        <v>240000</v>
      </c>
    </row>
    <row r="825" spans="1:6" x14ac:dyDescent="0.25">
      <c r="A825" s="8">
        <v>45438</v>
      </c>
      <c r="B825" t="s">
        <v>52</v>
      </c>
      <c r="C825">
        <v>4</v>
      </c>
      <c r="D825" t="s">
        <v>71</v>
      </c>
      <c r="E825" s="9">
        <v>22000</v>
      </c>
      <c r="F825" s="9">
        <f t="shared" si="11"/>
        <v>88000</v>
      </c>
    </row>
    <row r="826" spans="1:6" x14ac:dyDescent="0.25">
      <c r="A826" s="8"/>
      <c r="B826" t="s">
        <v>52</v>
      </c>
      <c r="C826">
        <v>25</v>
      </c>
      <c r="D826" t="s">
        <v>72</v>
      </c>
      <c r="E826" s="9">
        <v>23000</v>
      </c>
      <c r="F826" s="9">
        <f t="shared" si="11"/>
        <v>575000</v>
      </c>
    </row>
    <row r="827" spans="1:6" x14ac:dyDescent="0.25">
      <c r="A827" s="8"/>
      <c r="B827" t="s">
        <v>52</v>
      </c>
      <c r="C827">
        <v>15</v>
      </c>
      <c r="D827" t="s">
        <v>69</v>
      </c>
      <c r="E827" s="9">
        <v>24000</v>
      </c>
      <c r="F827" s="9">
        <f t="shared" si="11"/>
        <v>360000</v>
      </c>
    </row>
    <row r="828" spans="1:6" x14ac:dyDescent="0.25">
      <c r="A828" s="8"/>
      <c r="B828" t="s">
        <v>211</v>
      </c>
      <c r="C828">
        <v>1</v>
      </c>
      <c r="D828" t="s">
        <v>72</v>
      </c>
      <c r="E828" s="9">
        <v>25000</v>
      </c>
      <c r="F828" s="9">
        <f t="shared" si="11"/>
        <v>25000</v>
      </c>
    </row>
    <row r="829" spans="1:6" x14ac:dyDescent="0.25">
      <c r="A829" s="8"/>
      <c r="B829" t="s">
        <v>211</v>
      </c>
      <c r="C829">
        <v>1</v>
      </c>
      <c r="D829" t="s">
        <v>69</v>
      </c>
      <c r="E829" s="9">
        <v>26000</v>
      </c>
      <c r="F829" s="9">
        <f t="shared" si="11"/>
        <v>26000</v>
      </c>
    </row>
    <row r="830" spans="1:6" x14ac:dyDescent="0.25">
      <c r="A830" s="8">
        <v>45439</v>
      </c>
      <c r="B830" t="s">
        <v>119</v>
      </c>
      <c r="C830">
        <v>4</v>
      </c>
      <c r="D830" t="s">
        <v>69</v>
      </c>
      <c r="E830" s="9">
        <v>25000</v>
      </c>
      <c r="F830" s="9">
        <f t="shared" si="11"/>
        <v>100000</v>
      </c>
    </row>
    <row r="831" spans="1:6" x14ac:dyDescent="0.25">
      <c r="A831" s="8"/>
      <c r="B831" t="s">
        <v>52</v>
      </c>
      <c r="C831">
        <v>20</v>
      </c>
      <c r="D831" t="s">
        <v>72</v>
      </c>
      <c r="E831" s="9">
        <v>23000</v>
      </c>
      <c r="F831" s="9">
        <f t="shared" si="11"/>
        <v>460000</v>
      </c>
    </row>
    <row r="832" spans="1:6" x14ac:dyDescent="0.25">
      <c r="A832" s="8"/>
      <c r="B832" t="s">
        <v>52</v>
      </c>
      <c r="C832">
        <v>20</v>
      </c>
      <c r="D832" t="s">
        <v>69</v>
      </c>
      <c r="E832" s="9">
        <v>24000</v>
      </c>
      <c r="F832" s="9">
        <f t="shared" si="11"/>
        <v>480000</v>
      </c>
    </row>
    <row r="833" spans="1:6" x14ac:dyDescent="0.25">
      <c r="A833" s="8"/>
      <c r="B833" t="s">
        <v>52</v>
      </c>
      <c r="C833">
        <v>11</v>
      </c>
      <c r="D833" t="s">
        <v>71</v>
      </c>
      <c r="E833" s="9">
        <v>22000</v>
      </c>
      <c r="F833" s="9">
        <f t="shared" si="11"/>
        <v>242000</v>
      </c>
    </row>
    <row r="834" spans="1:6" x14ac:dyDescent="0.25">
      <c r="A834" s="8"/>
      <c r="B834" t="s">
        <v>42</v>
      </c>
      <c r="C834">
        <v>20</v>
      </c>
      <c r="D834" t="s">
        <v>69</v>
      </c>
      <c r="E834" s="9">
        <v>24000</v>
      </c>
      <c r="F834" s="9">
        <f t="shared" si="11"/>
        <v>480000</v>
      </c>
    </row>
    <row r="835" spans="1:6" x14ac:dyDescent="0.25">
      <c r="A835" s="8"/>
      <c r="B835" t="s">
        <v>98</v>
      </c>
      <c r="C835">
        <v>10</v>
      </c>
      <c r="D835" t="s">
        <v>72</v>
      </c>
      <c r="E835" s="9">
        <v>24000</v>
      </c>
      <c r="F835" s="9">
        <f t="shared" si="11"/>
        <v>240000</v>
      </c>
    </row>
    <row r="836" spans="1:6" x14ac:dyDescent="0.25">
      <c r="A836" s="8"/>
      <c r="B836" t="s">
        <v>216</v>
      </c>
      <c r="C836">
        <v>6</v>
      </c>
      <c r="D836" t="s">
        <v>69</v>
      </c>
      <c r="E836" s="9">
        <v>25000</v>
      </c>
      <c r="F836" s="9">
        <f t="shared" si="11"/>
        <v>150000</v>
      </c>
    </row>
    <row r="837" spans="1:6" x14ac:dyDescent="0.25">
      <c r="A837" s="8"/>
      <c r="B837" t="s">
        <v>113</v>
      </c>
      <c r="C837">
        <v>4</v>
      </c>
      <c r="D837" t="s">
        <v>72</v>
      </c>
      <c r="E837" s="9">
        <v>25000</v>
      </c>
      <c r="F837" s="9">
        <f t="shared" si="11"/>
        <v>100000</v>
      </c>
    </row>
    <row r="838" spans="1:6" x14ac:dyDescent="0.25">
      <c r="A838" s="8"/>
      <c r="B838" t="s">
        <v>45</v>
      </c>
      <c r="C838">
        <v>2</v>
      </c>
      <c r="D838" t="s">
        <v>96</v>
      </c>
      <c r="E838" s="9">
        <v>28000</v>
      </c>
      <c r="F838" s="9">
        <f t="shared" si="11"/>
        <v>56000</v>
      </c>
    </row>
    <row r="839" spans="1:6" x14ac:dyDescent="0.25">
      <c r="A839" s="8">
        <v>45440</v>
      </c>
      <c r="B839" t="s">
        <v>217</v>
      </c>
      <c r="C839">
        <v>10</v>
      </c>
      <c r="D839" t="s">
        <v>72</v>
      </c>
      <c r="E839" s="9">
        <v>25000</v>
      </c>
      <c r="F839" s="9">
        <f t="shared" si="11"/>
        <v>250000</v>
      </c>
    </row>
    <row r="840" spans="1:6" x14ac:dyDescent="0.25">
      <c r="A840" s="8"/>
      <c r="B840" t="s">
        <v>102</v>
      </c>
      <c r="C840">
        <v>5</v>
      </c>
      <c r="D840" t="s">
        <v>96</v>
      </c>
      <c r="E840" s="9">
        <v>28000</v>
      </c>
      <c r="F840" s="9">
        <f t="shared" si="11"/>
        <v>140000</v>
      </c>
    </row>
    <row r="841" spans="1:6" x14ac:dyDescent="0.25">
      <c r="A841" s="8"/>
      <c r="B841" t="s">
        <v>135</v>
      </c>
      <c r="C841">
        <v>2</v>
      </c>
      <c r="D841" t="s">
        <v>69</v>
      </c>
      <c r="E841" s="9">
        <v>27000</v>
      </c>
      <c r="F841" s="9">
        <f t="shared" si="11"/>
        <v>54000</v>
      </c>
    </row>
    <row r="842" spans="1:6" x14ac:dyDescent="0.25">
      <c r="A842" s="8"/>
      <c r="B842" t="s">
        <v>45</v>
      </c>
      <c r="C842">
        <v>1</v>
      </c>
      <c r="D842" t="s">
        <v>69</v>
      </c>
      <c r="E842" s="9">
        <v>25000</v>
      </c>
      <c r="F842" s="9">
        <f t="shared" si="11"/>
        <v>25000</v>
      </c>
    </row>
    <row r="843" spans="1:6" x14ac:dyDescent="0.25">
      <c r="A843" s="8"/>
      <c r="B843" t="s">
        <v>45</v>
      </c>
      <c r="C843">
        <v>3</v>
      </c>
      <c r="D843" t="s">
        <v>72</v>
      </c>
      <c r="E843" s="9">
        <v>25000</v>
      </c>
      <c r="F843" s="9">
        <f t="shared" si="11"/>
        <v>75000</v>
      </c>
    </row>
    <row r="844" spans="1:6" x14ac:dyDescent="0.25">
      <c r="A844" s="8"/>
      <c r="B844" t="s">
        <v>45</v>
      </c>
      <c r="C844">
        <v>2</v>
      </c>
      <c r="D844" t="s">
        <v>69</v>
      </c>
      <c r="E844" s="9">
        <v>27000</v>
      </c>
      <c r="F844" s="9">
        <f t="shared" si="11"/>
        <v>54000</v>
      </c>
    </row>
    <row r="845" spans="1:6" x14ac:dyDescent="0.25">
      <c r="A845" s="8"/>
      <c r="B845" t="s">
        <v>45</v>
      </c>
      <c r="C845">
        <v>2</v>
      </c>
      <c r="D845" t="s">
        <v>72</v>
      </c>
      <c r="E845" s="9">
        <v>25000</v>
      </c>
      <c r="F845" s="9">
        <f t="shared" si="11"/>
        <v>50000</v>
      </c>
    </row>
    <row r="846" spans="1:6" x14ac:dyDescent="0.25">
      <c r="A846" s="8"/>
      <c r="B846" t="s">
        <v>82</v>
      </c>
      <c r="C846">
        <v>40</v>
      </c>
      <c r="D846" t="s">
        <v>72</v>
      </c>
      <c r="E846" s="9">
        <v>22000</v>
      </c>
      <c r="F846" s="9">
        <f t="shared" si="11"/>
        <v>880000</v>
      </c>
    </row>
    <row r="847" spans="1:6" x14ac:dyDescent="0.25">
      <c r="A847" s="8"/>
      <c r="B847" t="s">
        <v>52</v>
      </c>
      <c r="C847">
        <v>5</v>
      </c>
      <c r="D847" t="s">
        <v>71</v>
      </c>
      <c r="E847" s="9">
        <v>22000</v>
      </c>
      <c r="F847" s="9">
        <f t="shared" si="11"/>
        <v>110000</v>
      </c>
    </row>
    <row r="848" spans="1:6" x14ac:dyDescent="0.25">
      <c r="A848" s="8"/>
      <c r="B848" t="s">
        <v>52</v>
      </c>
      <c r="C848">
        <v>15</v>
      </c>
      <c r="D848" t="s">
        <v>72</v>
      </c>
      <c r="E848" s="9">
        <v>23000</v>
      </c>
      <c r="F848" s="9">
        <f t="shared" si="11"/>
        <v>345000</v>
      </c>
    </row>
    <row r="849" spans="1:6" x14ac:dyDescent="0.25">
      <c r="A849" s="8"/>
      <c r="B849" t="s">
        <v>52</v>
      </c>
      <c r="C849">
        <v>20</v>
      </c>
      <c r="D849" t="s">
        <v>69</v>
      </c>
      <c r="E849" s="9">
        <v>24000</v>
      </c>
      <c r="F849" s="9">
        <f t="shared" si="11"/>
        <v>480000</v>
      </c>
    </row>
    <row r="850" spans="1:6" x14ac:dyDescent="0.25">
      <c r="A850" s="8"/>
      <c r="B850" t="s">
        <v>45</v>
      </c>
      <c r="C850">
        <v>2</v>
      </c>
      <c r="D850" t="s">
        <v>96</v>
      </c>
      <c r="E850" s="9">
        <v>30000</v>
      </c>
      <c r="F850" s="9">
        <f t="shared" si="11"/>
        <v>60000</v>
      </c>
    </row>
    <row r="851" spans="1:6" x14ac:dyDescent="0.25">
      <c r="A851" s="8"/>
      <c r="B851" t="s">
        <v>181</v>
      </c>
      <c r="C851">
        <v>5</v>
      </c>
      <c r="D851" t="s">
        <v>72</v>
      </c>
      <c r="E851" s="9">
        <v>20000</v>
      </c>
      <c r="F851" s="9">
        <f t="shared" si="11"/>
        <v>100000</v>
      </c>
    </row>
    <row r="852" spans="1:6" x14ac:dyDescent="0.25">
      <c r="A852" s="8">
        <v>45441</v>
      </c>
      <c r="B852" t="s">
        <v>52</v>
      </c>
      <c r="C852">
        <v>20</v>
      </c>
      <c r="D852" t="s">
        <v>72</v>
      </c>
      <c r="E852" s="9">
        <v>23000</v>
      </c>
      <c r="F852" s="9">
        <f t="shared" si="11"/>
        <v>460000</v>
      </c>
    </row>
    <row r="853" spans="1:6" x14ac:dyDescent="0.25">
      <c r="A853" s="8"/>
      <c r="B853" t="s">
        <v>52</v>
      </c>
      <c r="C853">
        <v>6</v>
      </c>
      <c r="D853" t="s">
        <v>71</v>
      </c>
      <c r="E853" s="9">
        <v>22000</v>
      </c>
      <c r="F853" s="9">
        <f t="shared" si="11"/>
        <v>132000</v>
      </c>
    </row>
    <row r="854" spans="1:6" x14ac:dyDescent="0.25">
      <c r="A854" s="8"/>
      <c r="B854" t="s">
        <v>89</v>
      </c>
      <c r="C854">
        <v>10</v>
      </c>
      <c r="D854" t="s">
        <v>72</v>
      </c>
      <c r="E854" s="9">
        <v>25000</v>
      </c>
      <c r="F854" s="9">
        <f t="shared" si="11"/>
        <v>250000</v>
      </c>
    </row>
    <row r="855" spans="1:6" x14ac:dyDescent="0.25">
      <c r="A855" s="8"/>
      <c r="B855" t="s">
        <v>130</v>
      </c>
      <c r="C855">
        <v>15</v>
      </c>
      <c r="D855" t="s">
        <v>72</v>
      </c>
      <c r="E855" s="9">
        <v>23000</v>
      </c>
      <c r="F855" s="9">
        <f t="shared" si="11"/>
        <v>345000</v>
      </c>
    </row>
    <row r="856" spans="1:6" x14ac:dyDescent="0.25">
      <c r="A856" s="8"/>
      <c r="B856" t="s">
        <v>45</v>
      </c>
      <c r="C856">
        <v>1</v>
      </c>
      <c r="D856" t="s">
        <v>96</v>
      </c>
      <c r="E856" s="9">
        <v>28000</v>
      </c>
      <c r="F856" s="9">
        <f t="shared" si="11"/>
        <v>28000</v>
      </c>
    </row>
    <row r="857" spans="1:6" x14ac:dyDescent="0.25">
      <c r="A857" s="8"/>
      <c r="B857" t="s">
        <v>45</v>
      </c>
      <c r="C857">
        <v>1</v>
      </c>
      <c r="D857" t="s">
        <v>137</v>
      </c>
      <c r="E857" s="9">
        <v>15000</v>
      </c>
      <c r="F857" s="9">
        <f t="shared" si="11"/>
        <v>15000</v>
      </c>
    </row>
    <row r="858" spans="1:6" x14ac:dyDescent="0.25">
      <c r="A858" s="8"/>
      <c r="B858" t="s">
        <v>42</v>
      </c>
      <c r="C858">
        <v>20</v>
      </c>
      <c r="D858" t="s">
        <v>69</v>
      </c>
      <c r="E858" s="9">
        <v>24000</v>
      </c>
      <c r="F858" s="9">
        <f t="shared" si="11"/>
        <v>480000</v>
      </c>
    </row>
    <row r="859" spans="1:6" x14ac:dyDescent="0.25">
      <c r="A859" s="8">
        <v>45442</v>
      </c>
      <c r="B859" t="s">
        <v>45</v>
      </c>
      <c r="C859">
        <v>2</v>
      </c>
      <c r="D859" t="s">
        <v>96</v>
      </c>
      <c r="E859" s="9">
        <v>28000</v>
      </c>
      <c r="F859" s="9">
        <f t="shared" si="11"/>
        <v>56000</v>
      </c>
    </row>
    <row r="860" spans="1:6" x14ac:dyDescent="0.25">
      <c r="A860" s="8"/>
      <c r="B860" t="s">
        <v>45</v>
      </c>
      <c r="C860">
        <v>2</v>
      </c>
      <c r="D860" t="s">
        <v>72</v>
      </c>
      <c r="E860" s="9">
        <v>25000</v>
      </c>
      <c r="F860" s="9">
        <f t="shared" si="11"/>
        <v>50000</v>
      </c>
    </row>
    <row r="861" spans="1:6" x14ac:dyDescent="0.25">
      <c r="A861" s="8"/>
      <c r="B861" t="s">
        <v>82</v>
      </c>
      <c r="C861">
        <v>57</v>
      </c>
      <c r="D861" t="s">
        <v>72</v>
      </c>
      <c r="E861" s="9">
        <v>22000</v>
      </c>
      <c r="F861" s="9">
        <f t="shared" ref="F861:F924" si="12">+E861*C861</f>
        <v>1254000</v>
      </c>
    </row>
    <row r="862" spans="1:6" x14ac:dyDescent="0.25">
      <c r="A862" s="8"/>
      <c r="B862" t="s">
        <v>82</v>
      </c>
      <c r="C862">
        <v>5</v>
      </c>
      <c r="D862" t="s">
        <v>69</v>
      </c>
      <c r="E862" s="9">
        <v>23000</v>
      </c>
      <c r="F862" s="9">
        <f t="shared" si="12"/>
        <v>115000</v>
      </c>
    </row>
    <row r="863" spans="1:6" x14ac:dyDescent="0.25">
      <c r="A863" s="8"/>
      <c r="B863" t="s">
        <v>119</v>
      </c>
      <c r="C863">
        <v>4</v>
      </c>
      <c r="D863" t="s">
        <v>69</v>
      </c>
      <c r="E863" s="9">
        <v>25000</v>
      </c>
      <c r="F863" s="9">
        <f t="shared" si="12"/>
        <v>100000</v>
      </c>
    </row>
    <row r="864" spans="1:6" x14ac:dyDescent="0.25">
      <c r="A864" s="8"/>
      <c r="B864" t="s">
        <v>94</v>
      </c>
      <c r="C864">
        <v>3</v>
      </c>
      <c r="D864" t="s">
        <v>96</v>
      </c>
      <c r="E864" s="9">
        <v>28000</v>
      </c>
      <c r="F864" s="9">
        <f t="shared" si="12"/>
        <v>84000</v>
      </c>
    </row>
    <row r="865" spans="1:13" x14ac:dyDescent="0.25">
      <c r="A865" s="8"/>
      <c r="B865" t="s">
        <v>101</v>
      </c>
      <c r="C865">
        <v>15</v>
      </c>
      <c r="D865" t="s">
        <v>69</v>
      </c>
      <c r="E865" s="9">
        <v>25000</v>
      </c>
      <c r="F865" s="9">
        <f t="shared" si="12"/>
        <v>375000</v>
      </c>
    </row>
    <row r="866" spans="1:13" x14ac:dyDescent="0.25">
      <c r="A866" s="8">
        <v>45443</v>
      </c>
      <c r="B866" t="s">
        <v>52</v>
      </c>
      <c r="C866">
        <v>7</v>
      </c>
      <c r="D866" t="s">
        <v>71</v>
      </c>
      <c r="E866" s="9">
        <v>22000</v>
      </c>
      <c r="F866" s="9">
        <f t="shared" si="12"/>
        <v>154000</v>
      </c>
    </row>
    <row r="867" spans="1:13" x14ac:dyDescent="0.25">
      <c r="A867" s="8"/>
      <c r="B867" t="s">
        <v>52</v>
      </c>
      <c r="C867">
        <v>30</v>
      </c>
      <c r="D867" t="s">
        <v>72</v>
      </c>
      <c r="E867" s="9">
        <v>23000</v>
      </c>
      <c r="F867" s="9">
        <f t="shared" si="12"/>
        <v>690000</v>
      </c>
    </row>
    <row r="868" spans="1:13" x14ac:dyDescent="0.25">
      <c r="A868" s="8"/>
      <c r="B868" t="s">
        <v>52</v>
      </c>
      <c r="C868">
        <v>10</v>
      </c>
      <c r="D868" t="s">
        <v>69</v>
      </c>
      <c r="E868" s="9">
        <v>24000</v>
      </c>
      <c r="F868" s="9">
        <f t="shared" si="12"/>
        <v>240000</v>
      </c>
    </row>
    <row r="869" spans="1:13" x14ac:dyDescent="0.25">
      <c r="A869" s="8"/>
      <c r="B869" t="s">
        <v>181</v>
      </c>
      <c r="C869">
        <v>5</v>
      </c>
      <c r="D869" t="s">
        <v>72</v>
      </c>
      <c r="E869" s="9">
        <v>20000</v>
      </c>
      <c r="F869" s="9">
        <f t="shared" si="12"/>
        <v>100000</v>
      </c>
    </row>
    <row r="870" spans="1:13" x14ac:dyDescent="0.25">
      <c r="A870" s="8"/>
      <c r="B870" t="s">
        <v>118</v>
      </c>
      <c r="C870">
        <v>2</v>
      </c>
      <c r="D870" t="s">
        <v>71</v>
      </c>
      <c r="E870" s="9">
        <v>23000</v>
      </c>
      <c r="F870" s="9">
        <f t="shared" si="12"/>
        <v>46000</v>
      </c>
    </row>
    <row r="871" spans="1:13" s="15" customFormat="1" x14ac:dyDescent="0.25">
      <c r="A871" s="12"/>
      <c r="B871" s="15" t="s">
        <v>45</v>
      </c>
      <c r="C871" s="15">
        <v>2</v>
      </c>
      <c r="D871" s="15" t="s">
        <v>69</v>
      </c>
      <c r="E871" s="13">
        <v>25000</v>
      </c>
      <c r="F871" s="13">
        <f t="shared" si="12"/>
        <v>50000</v>
      </c>
      <c r="I871" s="13"/>
      <c r="L871" s="13"/>
    </row>
    <row r="872" spans="1:13" x14ac:dyDescent="0.25">
      <c r="A872" s="8">
        <v>45444</v>
      </c>
      <c r="B872" t="s">
        <v>217</v>
      </c>
      <c r="C872">
        <v>10</v>
      </c>
      <c r="D872" t="s">
        <v>72</v>
      </c>
      <c r="E872" s="9">
        <v>25000</v>
      </c>
      <c r="F872" s="9">
        <f t="shared" si="12"/>
        <v>250000</v>
      </c>
      <c r="G872" s="31">
        <f>+SUM(F872:F1037)/SUM(C872:C1037)</f>
        <v>23565.762939726643</v>
      </c>
      <c r="H872" s="36" t="s">
        <v>139</v>
      </c>
      <c r="I872" s="31">
        <v>25</v>
      </c>
      <c r="J872" s="30"/>
    </row>
    <row r="873" spans="1:13" x14ac:dyDescent="0.25">
      <c r="A873" s="8">
        <v>45445</v>
      </c>
      <c r="B873" t="s">
        <v>39</v>
      </c>
      <c r="C873">
        <v>41</v>
      </c>
      <c r="D873" t="s">
        <v>72</v>
      </c>
      <c r="E873" s="9">
        <v>23000</v>
      </c>
      <c r="F873" s="9">
        <f t="shared" si="12"/>
        <v>943000</v>
      </c>
    </row>
    <row r="874" spans="1:13" x14ac:dyDescent="0.25">
      <c r="A874" s="8"/>
      <c r="B874" t="s">
        <v>101</v>
      </c>
      <c r="C874">
        <v>10</v>
      </c>
      <c r="D874" t="s">
        <v>69</v>
      </c>
      <c r="E874" s="9">
        <v>25000</v>
      </c>
      <c r="F874" s="9">
        <f t="shared" si="12"/>
        <v>250000</v>
      </c>
      <c r="H874" s="40" t="s">
        <v>144</v>
      </c>
      <c r="I874" s="40"/>
      <c r="K874" s="40" t="s">
        <v>141</v>
      </c>
      <c r="L874" s="40"/>
    </row>
    <row r="875" spans="1:13" x14ac:dyDescent="0.25">
      <c r="A875" s="8"/>
      <c r="B875" t="s">
        <v>52</v>
      </c>
      <c r="C875">
        <v>4</v>
      </c>
      <c r="D875" t="s">
        <v>71</v>
      </c>
      <c r="E875" s="9">
        <v>22000</v>
      </c>
      <c r="F875" s="9">
        <f t="shared" si="12"/>
        <v>88000</v>
      </c>
      <c r="H875" t="s">
        <v>139</v>
      </c>
      <c r="I875" s="17">
        <f>60/100*10*L875*I872</f>
        <v>1210500</v>
      </c>
      <c r="K875" t="s">
        <v>140</v>
      </c>
      <c r="L875" s="9">
        <v>8070</v>
      </c>
      <c r="M875" t="s">
        <v>146</v>
      </c>
    </row>
    <row r="876" spans="1:13" x14ac:dyDescent="0.25">
      <c r="A876" s="8"/>
      <c r="B876" t="s">
        <v>52</v>
      </c>
      <c r="C876">
        <v>23</v>
      </c>
      <c r="D876" t="s">
        <v>72</v>
      </c>
      <c r="E876" s="9">
        <v>23000</v>
      </c>
      <c r="F876" s="9">
        <f t="shared" si="12"/>
        <v>529000</v>
      </c>
      <c r="H876" t="s">
        <v>48</v>
      </c>
      <c r="I876" s="9">
        <f>+SUM(C872:C1084)*L876</f>
        <v>1160380</v>
      </c>
      <c r="K876" t="s">
        <v>48</v>
      </c>
      <c r="L876" s="9">
        <v>520</v>
      </c>
      <c r="M876" t="s">
        <v>147</v>
      </c>
    </row>
    <row r="877" spans="1:13" x14ac:dyDescent="0.25">
      <c r="A877" s="8"/>
      <c r="B877" t="s">
        <v>52</v>
      </c>
      <c r="C877">
        <v>19</v>
      </c>
      <c r="D877" t="s">
        <v>69</v>
      </c>
      <c r="E877" s="9">
        <v>24000</v>
      </c>
      <c r="F877" s="9">
        <f t="shared" si="12"/>
        <v>456000</v>
      </c>
      <c r="H877" t="s">
        <v>142</v>
      </c>
      <c r="I877" s="9">
        <f>+L877*31*(L879+L880)</f>
        <v>25389000</v>
      </c>
      <c r="K877" t="s">
        <v>142</v>
      </c>
      <c r="L877" s="9">
        <v>63000</v>
      </c>
      <c r="M877" t="s">
        <v>148</v>
      </c>
    </row>
    <row r="878" spans="1:13" x14ac:dyDescent="0.25">
      <c r="A878" s="8"/>
      <c r="B878" t="s">
        <v>218</v>
      </c>
      <c r="C878">
        <v>10</v>
      </c>
      <c r="D878" t="s">
        <v>72</v>
      </c>
      <c r="E878" s="9">
        <v>23000</v>
      </c>
      <c r="F878" s="9">
        <f t="shared" si="12"/>
        <v>230000</v>
      </c>
      <c r="H878" t="s">
        <v>145</v>
      </c>
      <c r="I878" s="9">
        <f>+L878*31</f>
        <v>3144285.7142857146</v>
      </c>
      <c r="K878" t="s">
        <v>143</v>
      </c>
      <c r="L878" s="9">
        <f>500000/7+30000</f>
        <v>101428.57142857143</v>
      </c>
      <c r="M878" t="s">
        <v>149</v>
      </c>
    </row>
    <row r="879" spans="1:13" x14ac:dyDescent="0.25">
      <c r="A879" s="8">
        <v>45446</v>
      </c>
      <c r="B879" t="s">
        <v>45</v>
      </c>
      <c r="C879">
        <v>2</v>
      </c>
      <c r="D879" t="s">
        <v>69</v>
      </c>
      <c r="E879" s="9">
        <v>27000</v>
      </c>
      <c r="F879" s="9">
        <f t="shared" si="12"/>
        <v>54000</v>
      </c>
      <c r="H879" t="s">
        <v>150</v>
      </c>
      <c r="I879" s="9">
        <v>15000</v>
      </c>
      <c r="J879" s="27"/>
      <c r="K879" t="s">
        <v>198</v>
      </c>
      <c r="L879" s="39">
        <v>8.5</v>
      </c>
    </row>
    <row r="880" spans="1:13" x14ac:dyDescent="0.25">
      <c r="A880" s="8"/>
      <c r="B880" t="s">
        <v>80</v>
      </c>
      <c r="C880">
        <v>15</v>
      </c>
      <c r="D880" t="s">
        <v>69</v>
      </c>
      <c r="E880" s="9">
        <v>25000</v>
      </c>
      <c r="F880" s="9">
        <f t="shared" si="12"/>
        <v>375000</v>
      </c>
      <c r="H880" t="s">
        <v>151</v>
      </c>
      <c r="I880" s="9">
        <v>150000</v>
      </c>
      <c r="K880" t="s">
        <v>199</v>
      </c>
      <c r="L880" s="39">
        <v>4.5</v>
      </c>
    </row>
    <row r="881" spans="1:9" x14ac:dyDescent="0.25">
      <c r="A881" s="8"/>
      <c r="B881" t="s">
        <v>42</v>
      </c>
      <c r="C881">
        <v>20</v>
      </c>
      <c r="D881" t="s">
        <v>69</v>
      </c>
      <c r="E881" s="9">
        <v>24000</v>
      </c>
      <c r="F881" s="9">
        <f t="shared" si="12"/>
        <v>480000</v>
      </c>
      <c r="H881" t="s">
        <v>152</v>
      </c>
      <c r="I881" s="9">
        <f>+SUM(I875:I880)</f>
        <v>31069165.714285716</v>
      </c>
    </row>
    <row r="882" spans="1:9" x14ac:dyDescent="0.25">
      <c r="A882" s="8"/>
      <c r="B882" t="s">
        <v>98</v>
      </c>
      <c r="C882">
        <v>10</v>
      </c>
      <c r="D882" t="s">
        <v>72</v>
      </c>
      <c r="E882" s="9">
        <v>24000</v>
      </c>
      <c r="F882" s="9">
        <f t="shared" si="12"/>
        <v>240000</v>
      </c>
    </row>
    <row r="883" spans="1:9" x14ac:dyDescent="0.25">
      <c r="A883" s="8"/>
      <c r="B883" t="s">
        <v>52</v>
      </c>
      <c r="C883">
        <v>11</v>
      </c>
      <c r="D883" t="s">
        <v>71</v>
      </c>
      <c r="E883" s="9">
        <v>22000</v>
      </c>
      <c r="F883" s="9">
        <f t="shared" si="12"/>
        <v>242000</v>
      </c>
      <c r="H883" t="s">
        <v>153</v>
      </c>
      <c r="I883" s="9">
        <f>+SUM(F872:F1084)</f>
        <v>52587000</v>
      </c>
    </row>
    <row r="884" spans="1:9" ht="15.75" thickBot="1" x14ac:dyDescent="0.3">
      <c r="A884" s="8"/>
      <c r="B884" t="s">
        <v>52</v>
      </c>
      <c r="C884">
        <v>20</v>
      </c>
      <c r="D884" t="s">
        <v>72</v>
      </c>
      <c r="E884" s="9">
        <v>23000</v>
      </c>
      <c r="F884" s="9">
        <f t="shared" si="12"/>
        <v>460000</v>
      </c>
    </row>
    <row r="885" spans="1:9" ht="15.75" thickBot="1" x14ac:dyDescent="0.3">
      <c r="A885" s="8"/>
      <c r="B885" t="s">
        <v>52</v>
      </c>
      <c r="C885">
        <v>10</v>
      </c>
      <c r="D885" t="s">
        <v>69</v>
      </c>
      <c r="E885" s="9">
        <v>24000</v>
      </c>
      <c r="F885" s="9">
        <f t="shared" si="12"/>
        <v>240000</v>
      </c>
      <c r="H885" s="34" t="s">
        <v>154</v>
      </c>
      <c r="I885" s="35">
        <f>+I883-I881</f>
        <v>21517834.285714284</v>
      </c>
    </row>
    <row r="886" spans="1:9" x14ac:dyDescent="0.25">
      <c r="A886" s="8"/>
      <c r="B886" t="s">
        <v>213</v>
      </c>
      <c r="C886">
        <v>10</v>
      </c>
      <c r="D886" t="s">
        <v>69</v>
      </c>
      <c r="E886" s="9">
        <v>24000</v>
      </c>
      <c r="F886" s="9">
        <f t="shared" si="12"/>
        <v>240000</v>
      </c>
    </row>
    <row r="887" spans="1:9" x14ac:dyDescent="0.25">
      <c r="A887" s="8"/>
      <c r="B887" t="s">
        <v>219</v>
      </c>
      <c r="C887">
        <v>4</v>
      </c>
      <c r="D887" t="s">
        <v>69</v>
      </c>
      <c r="E887" s="9">
        <v>25000</v>
      </c>
      <c r="F887" s="9">
        <f t="shared" si="12"/>
        <v>100000</v>
      </c>
    </row>
    <row r="888" spans="1:9" x14ac:dyDescent="0.25">
      <c r="A888" s="8"/>
      <c r="B888" t="s">
        <v>181</v>
      </c>
      <c r="C888">
        <v>5</v>
      </c>
      <c r="D888" t="s">
        <v>71</v>
      </c>
      <c r="E888" s="9">
        <v>20000</v>
      </c>
      <c r="F888" s="9">
        <f t="shared" si="12"/>
        <v>100000</v>
      </c>
    </row>
    <row r="889" spans="1:9" x14ac:dyDescent="0.25">
      <c r="A889" s="8"/>
      <c r="B889" t="s">
        <v>89</v>
      </c>
      <c r="C889">
        <v>10</v>
      </c>
      <c r="D889" t="s">
        <v>69</v>
      </c>
      <c r="E889" s="9">
        <v>25000</v>
      </c>
      <c r="F889" s="9">
        <f t="shared" si="12"/>
        <v>250000</v>
      </c>
    </row>
    <row r="890" spans="1:9" x14ac:dyDescent="0.25">
      <c r="A890" s="8">
        <v>45447</v>
      </c>
      <c r="B890" t="s">
        <v>64</v>
      </c>
      <c r="C890">
        <v>3</v>
      </c>
      <c r="D890" t="s">
        <v>72</v>
      </c>
      <c r="E890" s="9">
        <v>25000</v>
      </c>
      <c r="F890" s="9">
        <f t="shared" si="12"/>
        <v>75000</v>
      </c>
    </row>
    <row r="891" spans="1:9" x14ac:dyDescent="0.25">
      <c r="A891" s="8"/>
      <c r="B891" t="s">
        <v>87</v>
      </c>
      <c r="C891">
        <v>8</v>
      </c>
      <c r="D891" t="s">
        <v>69</v>
      </c>
      <c r="E891" s="9">
        <v>25000</v>
      </c>
      <c r="F891" s="9">
        <f t="shared" si="12"/>
        <v>200000</v>
      </c>
    </row>
    <row r="892" spans="1:9" x14ac:dyDescent="0.25">
      <c r="A892" s="8"/>
      <c r="B892" t="s">
        <v>45</v>
      </c>
      <c r="C892">
        <v>2</v>
      </c>
      <c r="D892" t="s">
        <v>69</v>
      </c>
      <c r="E892" s="9">
        <v>27000</v>
      </c>
      <c r="F892" s="9">
        <f t="shared" si="12"/>
        <v>54000</v>
      </c>
    </row>
    <row r="893" spans="1:9" x14ac:dyDescent="0.25">
      <c r="A893" s="8"/>
      <c r="B893" t="s">
        <v>82</v>
      </c>
      <c r="C893">
        <v>42</v>
      </c>
      <c r="D893" t="s">
        <v>69</v>
      </c>
      <c r="E893" s="9">
        <v>23000</v>
      </c>
      <c r="F893" s="9">
        <f t="shared" si="12"/>
        <v>966000</v>
      </c>
    </row>
    <row r="894" spans="1:9" x14ac:dyDescent="0.25">
      <c r="A894" s="8"/>
      <c r="B894" t="s">
        <v>52</v>
      </c>
      <c r="C894">
        <v>20</v>
      </c>
      <c r="D894" t="s">
        <v>72</v>
      </c>
      <c r="E894" s="9">
        <v>23000</v>
      </c>
      <c r="F894" s="9">
        <f t="shared" si="12"/>
        <v>460000</v>
      </c>
    </row>
    <row r="895" spans="1:9" x14ac:dyDescent="0.25">
      <c r="A895" s="8"/>
      <c r="B895" t="s">
        <v>52</v>
      </c>
      <c r="C895">
        <v>7</v>
      </c>
      <c r="D895" t="s">
        <v>71</v>
      </c>
      <c r="E895" s="9">
        <v>22000</v>
      </c>
      <c r="F895" s="9">
        <f t="shared" si="12"/>
        <v>154000</v>
      </c>
    </row>
    <row r="896" spans="1:9" x14ac:dyDescent="0.25">
      <c r="A896" s="8"/>
      <c r="B896" t="s">
        <v>52</v>
      </c>
      <c r="C896">
        <v>10</v>
      </c>
      <c r="D896" t="s">
        <v>69</v>
      </c>
      <c r="E896" s="9">
        <v>24000</v>
      </c>
      <c r="F896" s="9">
        <f t="shared" si="12"/>
        <v>240000</v>
      </c>
    </row>
    <row r="897" spans="1:6" x14ac:dyDescent="0.25">
      <c r="A897" s="8"/>
      <c r="B897" t="s">
        <v>119</v>
      </c>
      <c r="C897">
        <v>4</v>
      </c>
      <c r="D897" t="s">
        <v>69</v>
      </c>
      <c r="E897" s="9">
        <v>25000</v>
      </c>
      <c r="F897" s="9">
        <f t="shared" si="12"/>
        <v>100000</v>
      </c>
    </row>
    <row r="898" spans="1:6" x14ac:dyDescent="0.25">
      <c r="A898" s="8">
        <v>45448</v>
      </c>
      <c r="B898" t="s">
        <v>42</v>
      </c>
      <c r="C898">
        <v>10</v>
      </c>
      <c r="D898" t="s">
        <v>69</v>
      </c>
      <c r="E898" s="9">
        <v>24000</v>
      </c>
      <c r="F898" s="9">
        <f t="shared" si="12"/>
        <v>240000</v>
      </c>
    </row>
    <row r="899" spans="1:6" x14ac:dyDescent="0.25">
      <c r="A899" s="8"/>
      <c r="B899" t="s">
        <v>213</v>
      </c>
      <c r="C899">
        <v>10</v>
      </c>
      <c r="D899" t="s">
        <v>72</v>
      </c>
      <c r="E899" s="9">
        <v>23000</v>
      </c>
      <c r="F899" s="9">
        <f t="shared" si="12"/>
        <v>230000</v>
      </c>
    </row>
    <row r="900" spans="1:6" x14ac:dyDescent="0.25">
      <c r="A900" s="8"/>
      <c r="B900" t="s">
        <v>82</v>
      </c>
      <c r="C900">
        <v>42</v>
      </c>
      <c r="D900" t="s">
        <v>72</v>
      </c>
      <c r="E900" s="9">
        <v>23000</v>
      </c>
      <c r="F900" s="9">
        <f t="shared" si="12"/>
        <v>966000</v>
      </c>
    </row>
    <row r="901" spans="1:6" x14ac:dyDescent="0.25">
      <c r="A901" s="8"/>
      <c r="B901" t="s">
        <v>82</v>
      </c>
      <c r="C901">
        <v>7</v>
      </c>
      <c r="D901" t="s">
        <v>71</v>
      </c>
      <c r="E901" s="9">
        <v>22000</v>
      </c>
      <c r="F901" s="9">
        <f t="shared" si="12"/>
        <v>154000</v>
      </c>
    </row>
    <row r="902" spans="1:6" x14ac:dyDescent="0.25">
      <c r="A902" s="8"/>
      <c r="B902" t="s">
        <v>45</v>
      </c>
      <c r="C902">
        <v>5</v>
      </c>
      <c r="D902" t="s">
        <v>72</v>
      </c>
      <c r="E902" s="9">
        <v>25000</v>
      </c>
      <c r="F902" s="9">
        <f t="shared" si="12"/>
        <v>125000</v>
      </c>
    </row>
    <row r="903" spans="1:6" x14ac:dyDescent="0.25">
      <c r="A903" s="8">
        <v>45449</v>
      </c>
      <c r="B903" t="s">
        <v>200</v>
      </c>
      <c r="C903">
        <v>2</v>
      </c>
      <c r="D903" t="s">
        <v>72</v>
      </c>
      <c r="E903" s="9">
        <v>25000</v>
      </c>
      <c r="F903" s="9">
        <f t="shared" si="12"/>
        <v>50000</v>
      </c>
    </row>
    <row r="904" spans="1:6" x14ac:dyDescent="0.25">
      <c r="A904" s="8"/>
      <c r="B904" t="s">
        <v>45</v>
      </c>
      <c r="C904">
        <v>1</v>
      </c>
      <c r="D904" t="s">
        <v>72</v>
      </c>
      <c r="E904" s="9">
        <v>25000</v>
      </c>
      <c r="F904" s="9">
        <f t="shared" si="12"/>
        <v>25000</v>
      </c>
    </row>
    <row r="905" spans="1:6" x14ac:dyDescent="0.25">
      <c r="A905" s="8"/>
      <c r="B905" t="s">
        <v>214</v>
      </c>
      <c r="C905">
        <v>11</v>
      </c>
      <c r="D905" t="s">
        <v>72</v>
      </c>
      <c r="E905" s="9">
        <v>24000</v>
      </c>
      <c r="F905" s="9">
        <f t="shared" si="12"/>
        <v>264000</v>
      </c>
    </row>
    <row r="906" spans="1:6" x14ac:dyDescent="0.25">
      <c r="A906" s="8"/>
      <c r="B906" t="s">
        <v>82</v>
      </c>
      <c r="C906">
        <v>58</v>
      </c>
      <c r="D906" t="s">
        <v>72</v>
      </c>
      <c r="E906" s="9">
        <v>23000</v>
      </c>
      <c r="F906" s="9">
        <f t="shared" si="12"/>
        <v>1334000</v>
      </c>
    </row>
    <row r="907" spans="1:6" x14ac:dyDescent="0.25">
      <c r="A907" s="8"/>
      <c r="B907" t="s">
        <v>119</v>
      </c>
      <c r="C907">
        <v>4</v>
      </c>
      <c r="D907" t="s">
        <v>69</v>
      </c>
      <c r="E907" s="9">
        <v>25000</v>
      </c>
      <c r="F907" s="9">
        <f t="shared" si="12"/>
        <v>100000</v>
      </c>
    </row>
    <row r="908" spans="1:6" x14ac:dyDescent="0.25">
      <c r="A908" s="8">
        <v>45450</v>
      </c>
      <c r="B908" t="s">
        <v>100</v>
      </c>
      <c r="C908">
        <v>3</v>
      </c>
      <c r="D908" t="s">
        <v>96</v>
      </c>
      <c r="E908" s="9">
        <v>30000</v>
      </c>
      <c r="F908" s="9">
        <f t="shared" si="12"/>
        <v>90000</v>
      </c>
    </row>
    <row r="909" spans="1:6" x14ac:dyDescent="0.25">
      <c r="A909" s="8"/>
      <c r="B909" t="s">
        <v>52</v>
      </c>
      <c r="C909">
        <v>23</v>
      </c>
      <c r="D909" t="s">
        <v>72</v>
      </c>
      <c r="E909" s="9">
        <v>23000</v>
      </c>
      <c r="F909" s="9">
        <f t="shared" si="12"/>
        <v>529000</v>
      </c>
    </row>
    <row r="910" spans="1:6" x14ac:dyDescent="0.25">
      <c r="A910" s="8"/>
      <c r="B910" t="s">
        <v>52</v>
      </c>
      <c r="C910">
        <v>5</v>
      </c>
      <c r="D910" t="s">
        <v>71</v>
      </c>
      <c r="E910" s="9">
        <v>22000</v>
      </c>
      <c r="F910" s="9">
        <f t="shared" si="12"/>
        <v>110000</v>
      </c>
    </row>
    <row r="911" spans="1:6" x14ac:dyDescent="0.25">
      <c r="A911" s="8"/>
      <c r="B911" t="s">
        <v>45</v>
      </c>
      <c r="C911">
        <v>10</v>
      </c>
      <c r="D911" t="s">
        <v>72</v>
      </c>
      <c r="E911" s="9">
        <v>23000</v>
      </c>
      <c r="F911" s="9">
        <f t="shared" si="12"/>
        <v>230000</v>
      </c>
    </row>
    <row r="912" spans="1:6" x14ac:dyDescent="0.25">
      <c r="A912" s="8"/>
      <c r="B912" t="s">
        <v>52</v>
      </c>
      <c r="C912">
        <v>23</v>
      </c>
      <c r="D912" t="s">
        <v>69</v>
      </c>
      <c r="E912" s="9">
        <v>24000</v>
      </c>
      <c r="F912" s="9">
        <f t="shared" si="12"/>
        <v>552000</v>
      </c>
    </row>
    <row r="913" spans="1:6" x14ac:dyDescent="0.25">
      <c r="A913" s="8"/>
      <c r="B913" t="s">
        <v>52</v>
      </c>
      <c r="C913">
        <v>25</v>
      </c>
      <c r="D913" t="s">
        <v>72</v>
      </c>
      <c r="E913" s="9">
        <v>23000</v>
      </c>
      <c r="F913" s="9">
        <f t="shared" si="12"/>
        <v>575000</v>
      </c>
    </row>
    <row r="914" spans="1:6" x14ac:dyDescent="0.25">
      <c r="A914" s="8">
        <v>45451</v>
      </c>
      <c r="B914" t="s">
        <v>45</v>
      </c>
      <c r="C914">
        <v>2</v>
      </c>
      <c r="D914" t="s">
        <v>69</v>
      </c>
      <c r="E914" s="9">
        <v>27000</v>
      </c>
      <c r="F914" s="9">
        <f t="shared" si="12"/>
        <v>54000</v>
      </c>
    </row>
    <row r="915" spans="1:6" x14ac:dyDescent="0.25">
      <c r="A915" s="8"/>
      <c r="B915" t="s">
        <v>45</v>
      </c>
      <c r="C915">
        <v>1</v>
      </c>
      <c r="D915" t="s">
        <v>137</v>
      </c>
      <c r="E915" s="9">
        <v>15000</v>
      </c>
      <c r="F915" s="9">
        <f t="shared" si="12"/>
        <v>15000</v>
      </c>
    </row>
    <row r="916" spans="1:6" x14ac:dyDescent="0.25">
      <c r="A916" s="8"/>
      <c r="B916" t="s">
        <v>45</v>
      </c>
      <c r="C916">
        <v>1</v>
      </c>
      <c r="D916" t="s">
        <v>96</v>
      </c>
      <c r="E916" s="9">
        <v>28000</v>
      </c>
      <c r="F916" s="9">
        <f t="shared" si="12"/>
        <v>28000</v>
      </c>
    </row>
    <row r="917" spans="1:6" x14ac:dyDescent="0.25">
      <c r="A917" s="8"/>
      <c r="B917" t="s">
        <v>85</v>
      </c>
      <c r="C917">
        <v>10</v>
      </c>
      <c r="D917" t="s">
        <v>72</v>
      </c>
      <c r="E917" s="9">
        <v>25000</v>
      </c>
      <c r="F917" s="9">
        <f t="shared" si="12"/>
        <v>250000</v>
      </c>
    </row>
    <row r="918" spans="1:6" x14ac:dyDescent="0.25">
      <c r="A918" s="8"/>
      <c r="B918" t="s">
        <v>217</v>
      </c>
      <c r="C918">
        <v>5</v>
      </c>
      <c r="D918" t="s">
        <v>72</v>
      </c>
      <c r="E918" s="9">
        <v>25000</v>
      </c>
      <c r="F918" s="9">
        <f t="shared" si="12"/>
        <v>125000</v>
      </c>
    </row>
    <row r="919" spans="1:6" x14ac:dyDescent="0.25">
      <c r="A919" s="8"/>
      <c r="B919" t="s">
        <v>45</v>
      </c>
      <c r="C919">
        <v>2</v>
      </c>
      <c r="D919" t="s">
        <v>72</v>
      </c>
      <c r="E919" s="9">
        <v>25000</v>
      </c>
      <c r="F919" s="9">
        <f t="shared" si="12"/>
        <v>50000</v>
      </c>
    </row>
    <row r="920" spans="1:6" x14ac:dyDescent="0.25">
      <c r="A920" s="8"/>
      <c r="B920" t="s">
        <v>135</v>
      </c>
      <c r="C920">
        <v>1</v>
      </c>
      <c r="D920" t="s">
        <v>69</v>
      </c>
      <c r="E920" s="9">
        <v>27000</v>
      </c>
      <c r="F920" s="9">
        <f t="shared" si="12"/>
        <v>27000</v>
      </c>
    </row>
    <row r="921" spans="1:6" x14ac:dyDescent="0.25">
      <c r="A921" s="8"/>
      <c r="B921" t="s">
        <v>45</v>
      </c>
      <c r="C921">
        <v>1.5</v>
      </c>
      <c r="D921" t="s">
        <v>71</v>
      </c>
      <c r="E921" s="9">
        <v>20000</v>
      </c>
      <c r="F921" s="9">
        <f t="shared" si="12"/>
        <v>30000</v>
      </c>
    </row>
    <row r="922" spans="1:6" x14ac:dyDescent="0.25">
      <c r="A922" s="8">
        <v>45452</v>
      </c>
      <c r="B922" t="s">
        <v>52</v>
      </c>
      <c r="C922">
        <v>6</v>
      </c>
      <c r="D922" t="s">
        <v>71</v>
      </c>
      <c r="E922" s="9">
        <v>22000</v>
      </c>
      <c r="F922" s="9">
        <f t="shared" si="12"/>
        <v>132000</v>
      </c>
    </row>
    <row r="923" spans="1:6" x14ac:dyDescent="0.25">
      <c r="A923" s="8"/>
      <c r="B923" t="s">
        <v>52</v>
      </c>
      <c r="C923">
        <v>15</v>
      </c>
      <c r="D923" t="s">
        <v>72</v>
      </c>
      <c r="E923" s="9">
        <v>23000</v>
      </c>
      <c r="F923" s="9">
        <f t="shared" si="12"/>
        <v>345000</v>
      </c>
    </row>
    <row r="924" spans="1:6" x14ac:dyDescent="0.25">
      <c r="A924" s="8"/>
      <c r="B924" t="s">
        <v>52</v>
      </c>
      <c r="C924">
        <v>21</v>
      </c>
      <c r="D924" t="s">
        <v>69</v>
      </c>
      <c r="E924" s="9">
        <v>24000</v>
      </c>
      <c r="F924" s="9">
        <f t="shared" si="12"/>
        <v>504000</v>
      </c>
    </row>
    <row r="925" spans="1:6" x14ac:dyDescent="0.25">
      <c r="A925" s="8"/>
      <c r="B925" t="s">
        <v>130</v>
      </c>
      <c r="C925">
        <v>10</v>
      </c>
      <c r="D925" t="s">
        <v>72</v>
      </c>
      <c r="E925" s="9">
        <v>23000</v>
      </c>
      <c r="F925" s="9">
        <f t="shared" ref="F925:F988" si="13">+E925*C925</f>
        <v>230000</v>
      </c>
    </row>
    <row r="926" spans="1:6" x14ac:dyDescent="0.25">
      <c r="A926" s="8"/>
      <c r="B926" t="s">
        <v>178</v>
      </c>
      <c r="C926">
        <v>4</v>
      </c>
      <c r="D926" t="s">
        <v>72</v>
      </c>
      <c r="E926" s="9">
        <v>25000</v>
      </c>
      <c r="F926" s="9">
        <f t="shared" si="13"/>
        <v>100000</v>
      </c>
    </row>
    <row r="927" spans="1:6" x14ac:dyDescent="0.25">
      <c r="A927" s="8"/>
      <c r="B927" t="s">
        <v>178</v>
      </c>
      <c r="C927">
        <v>3</v>
      </c>
      <c r="D927" t="s">
        <v>96</v>
      </c>
      <c r="E927" s="9">
        <v>28000</v>
      </c>
      <c r="F927" s="9">
        <f t="shared" si="13"/>
        <v>84000</v>
      </c>
    </row>
    <row r="928" spans="1:6" x14ac:dyDescent="0.25">
      <c r="A928" s="8">
        <v>45453</v>
      </c>
      <c r="B928" t="s">
        <v>45</v>
      </c>
      <c r="C928">
        <v>3</v>
      </c>
      <c r="D928" t="s">
        <v>72</v>
      </c>
      <c r="E928" s="9">
        <v>25000</v>
      </c>
      <c r="F928" s="9">
        <f t="shared" si="13"/>
        <v>75000</v>
      </c>
    </row>
    <row r="929" spans="1:6" x14ac:dyDescent="0.25">
      <c r="A929" s="8"/>
      <c r="B929" t="s">
        <v>39</v>
      </c>
      <c r="C929">
        <v>41</v>
      </c>
      <c r="D929" t="s">
        <v>72</v>
      </c>
      <c r="E929" s="9">
        <v>23000</v>
      </c>
      <c r="F929" s="9">
        <f t="shared" si="13"/>
        <v>943000</v>
      </c>
    </row>
    <row r="930" spans="1:6" x14ac:dyDescent="0.25">
      <c r="A930" s="8">
        <v>45454</v>
      </c>
      <c r="B930" t="s">
        <v>52</v>
      </c>
      <c r="C930">
        <v>20</v>
      </c>
      <c r="D930" t="s">
        <v>69</v>
      </c>
      <c r="E930" s="9">
        <v>24000</v>
      </c>
      <c r="F930" s="9">
        <f t="shared" si="13"/>
        <v>480000</v>
      </c>
    </row>
    <row r="931" spans="1:6" x14ac:dyDescent="0.25">
      <c r="A931" s="8"/>
      <c r="B931" t="s">
        <v>52</v>
      </c>
      <c r="C931">
        <v>20</v>
      </c>
      <c r="D931" t="s">
        <v>72</v>
      </c>
      <c r="E931" s="9">
        <v>23000</v>
      </c>
      <c r="F931" s="9">
        <f t="shared" si="13"/>
        <v>460000</v>
      </c>
    </row>
    <row r="932" spans="1:6" x14ac:dyDescent="0.25">
      <c r="A932" s="8"/>
      <c r="B932" t="s">
        <v>52</v>
      </c>
      <c r="C932">
        <v>9</v>
      </c>
      <c r="D932" t="s">
        <v>71</v>
      </c>
      <c r="E932" s="9">
        <v>22000</v>
      </c>
      <c r="F932" s="9">
        <f t="shared" si="13"/>
        <v>198000</v>
      </c>
    </row>
    <row r="933" spans="1:6" x14ac:dyDescent="0.25">
      <c r="A933" s="8"/>
      <c r="B933" t="s">
        <v>82</v>
      </c>
      <c r="C933">
        <v>57</v>
      </c>
      <c r="D933" t="s">
        <v>69</v>
      </c>
      <c r="E933" s="9">
        <v>23000</v>
      </c>
      <c r="F933" s="9">
        <f t="shared" si="13"/>
        <v>1311000</v>
      </c>
    </row>
    <row r="934" spans="1:6" x14ac:dyDescent="0.25">
      <c r="A934" s="8"/>
      <c r="B934" t="s">
        <v>89</v>
      </c>
      <c r="C934">
        <v>10</v>
      </c>
      <c r="D934" t="s">
        <v>72</v>
      </c>
      <c r="E934" s="9">
        <v>25000</v>
      </c>
      <c r="F934" s="9">
        <f t="shared" si="13"/>
        <v>250000</v>
      </c>
    </row>
    <row r="935" spans="1:6" x14ac:dyDescent="0.25">
      <c r="A935" s="8"/>
      <c r="B935" t="s">
        <v>64</v>
      </c>
      <c r="C935">
        <v>2</v>
      </c>
      <c r="D935" t="s">
        <v>72</v>
      </c>
      <c r="E935" s="9">
        <v>25000</v>
      </c>
      <c r="F935" s="9">
        <f t="shared" si="13"/>
        <v>50000</v>
      </c>
    </row>
    <row r="936" spans="1:6" x14ac:dyDescent="0.25">
      <c r="A936" s="8">
        <v>45455</v>
      </c>
      <c r="B936" t="s">
        <v>45</v>
      </c>
      <c r="C936">
        <v>3</v>
      </c>
      <c r="D936" t="s">
        <v>72</v>
      </c>
      <c r="E936" s="9">
        <v>25000</v>
      </c>
      <c r="F936" s="9">
        <f t="shared" si="13"/>
        <v>75000</v>
      </c>
    </row>
    <row r="937" spans="1:6" x14ac:dyDescent="0.25">
      <c r="A937" s="8"/>
      <c r="B937" t="s">
        <v>45</v>
      </c>
      <c r="C937">
        <v>1</v>
      </c>
      <c r="D937" t="s">
        <v>96</v>
      </c>
      <c r="E937" s="9">
        <v>28000</v>
      </c>
      <c r="F937" s="9">
        <f t="shared" si="13"/>
        <v>28000</v>
      </c>
    </row>
    <row r="938" spans="1:6" x14ac:dyDescent="0.25">
      <c r="A938" s="8"/>
      <c r="B938" t="s">
        <v>101</v>
      </c>
      <c r="C938">
        <v>10</v>
      </c>
      <c r="D938" t="s">
        <v>69</v>
      </c>
      <c r="E938" s="9">
        <v>25000</v>
      </c>
      <c r="F938" s="9">
        <f t="shared" si="13"/>
        <v>250000</v>
      </c>
    </row>
    <row r="939" spans="1:6" x14ac:dyDescent="0.25">
      <c r="A939" s="8"/>
      <c r="B939" t="s">
        <v>119</v>
      </c>
      <c r="C939">
        <v>4</v>
      </c>
      <c r="D939" t="s">
        <v>69</v>
      </c>
      <c r="E939" s="9">
        <v>25000</v>
      </c>
      <c r="F939" s="9">
        <f t="shared" si="13"/>
        <v>100000</v>
      </c>
    </row>
    <row r="940" spans="1:6" x14ac:dyDescent="0.25">
      <c r="A940" s="8"/>
      <c r="B940" t="s">
        <v>42</v>
      </c>
      <c r="C940">
        <v>20</v>
      </c>
      <c r="D940" t="s">
        <v>69</v>
      </c>
      <c r="E940" s="9">
        <v>24000</v>
      </c>
      <c r="F940" s="9">
        <f t="shared" si="13"/>
        <v>480000</v>
      </c>
    </row>
    <row r="941" spans="1:6" x14ac:dyDescent="0.25">
      <c r="A941" s="8"/>
      <c r="B941" t="s">
        <v>98</v>
      </c>
      <c r="C941">
        <v>10</v>
      </c>
      <c r="D941" t="s">
        <v>72</v>
      </c>
      <c r="E941" s="9">
        <v>24000</v>
      </c>
      <c r="F941" s="9">
        <f t="shared" si="13"/>
        <v>240000</v>
      </c>
    </row>
    <row r="942" spans="1:6" x14ac:dyDescent="0.25">
      <c r="A942" s="8"/>
      <c r="B942" t="s">
        <v>178</v>
      </c>
      <c r="C942">
        <v>6</v>
      </c>
      <c r="D942" t="s">
        <v>96</v>
      </c>
      <c r="E942" s="9">
        <v>25000</v>
      </c>
      <c r="F942" s="9">
        <f t="shared" si="13"/>
        <v>150000</v>
      </c>
    </row>
    <row r="943" spans="1:6" x14ac:dyDescent="0.25">
      <c r="A943" s="8"/>
      <c r="B943" t="s">
        <v>52</v>
      </c>
      <c r="C943">
        <v>53</v>
      </c>
      <c r="D943" t="s">
        <v>72</v>
      </c>
      <c r="E943" s="9">
        <v>23000</v>
      </c>
      <c r="F943" s="9">
        <f t="shared" si="13"/>
        <v>1219000</v>
      </c>
    </row>
    <row r="944" spans="1:6" x14ac:dyDescent="0.25">
      <c r="A944" s="8"/>
      <c r="B944" t="s">
        <v>52</v>
      </c>
      <c r="C944">
        <v>4</v>
      </c>
      <c r="D944" t="s">
        <v>69</v>
      </c>
      <c r="E944" s="9">
        <v>24000</v>
      </c>
      <c r="F944" s="9">
        <f t="shared" si="13"/>
        <v>96000</v>
      </c>
    </row>
    <row r="945" spans="1:6" x14ac:dyDescent="0.25">
      <c r="A945" s="8"/>
      <c r="B945" t="s">
        <v>52</v>
      </c>
      <c r="C945">
        <v>7</v>
      </c>
      <c r="D945" t="s">
        <v>71</v>
      </c>
      <c r="E945" s="9">
        <v>22000</v>
      </c>
      <c r="F945" s="9">
        <f t="shared" si="13"/>
        <v>154000</v>
      </c>
    </row>
    <row r="946" spans="1:6" x14ac:dyDescent="0.25">
      <c r="A946" s="8">
        <v>45456</v>
      </c>
      <c r="B946" t="s">
        <v>82</v>
      </c>
      <c r="C946">
        <v>40</v>
      </c>
      <c r="D946" t="s">
        <v>72</v>
      </c>
      <c r="E946" s="9">
        <v>23000</v>
      </c>
      <c r="F946" s="9">
        <f t="shared" si="13"/>
        <v>920000</v>
      </c>
    </row>
    <row r="947" spans="1:6" x14ac:dyDescent="0.25">
      <c r="A947" s="8"/>
      <c r="B947" t="s">
        <v>52</v>
      </c>
      <c r="C947">
        <v>8</v>
      </c>
      <c r="D947" t="s">
        <v>71</v>
      </c>
      <c r="E947" s="9">
        <v>22000</v>
      </c>
      <c r="F947" s="9">
        <f t="shared" si="13"/>
        <v>176000</v>
      </c>
    </row>
    <row r="948" spans="1:6" x14ac:dyDescent="0.25">
      <c r="A948" s="8"/>
      <c r="B948" t="s">
        <v>52</v>
      </c>
      <c r="C948">
        <v>20</v>
      </c>
      <c r="D948" t="s">
        <v>72</v>
      </c>
      <c r="E948" s="9">
        <v>23000</v>
      </c>
      <c r="F948" s="9">
        <f t="shared" si="13"/>
        <v>460000</v>
      </c>
    </row>
    <row r="949" spans="1:6" x14ac:dyDescent="0.25">
      <c r="A949" s="8"/>
      <c r="B949" t="s">
        <v>52</v>
      </c>
      <c r="C949">
        <v>30</v>
      </c>
      <c r="D949" t="s">
        <v>69</v>
      </c>
      <c r="E949" s="9">
        <v>24000</v>
      </c>
      <c r="F949" s="9">
        <f t="shared" si="13"/>
        <v>720000</v>
      </c>
    </row>
    <row r="950" spans="1:6" x14ac:dyDescent="0.25">
      <c r="A950" s="8">
        <v>45457</v>
      </c>
      <c r="B950" t="s">
        <v>82</v>
      </c>
      <c r="C950">
        <v>30</v>
      </c>
      <c r="D950" t="s">
        <v>72</v>
      </c>
      <c r="E950" s="9">
        <v>23000</v>
      </c>
      <c r="F950" s="9">
        <f t="shared" si="13"/>
        <v>690000</v>
      </c>
    </row>
    <row r="951" spans="1:6" x14ac:dyDescent="0.25">
      <c r="A951" s="8"/>
      <c r="B951" t="s">
        <v>52</v>
      </c>
      <c r="C951">
        <v>7</v>
      </c>
      <c r="D951" t="s">
        <v>71</v>
      </c>
      <c r="E951" s="9">
        <v>22000</v>
      </c>
      <c r="F951" s="9">
        <f t="shared" si="13"/>
        <v>154000</v>
      </c>
    </row>
    <row r="952" spans="1:6" x14ac:dyDescent="0.25">
      <c r="A952" s="8"/>
      <c r="B952" t="s">
        <v>52</v>
      </c>
      <c r="C952">
        <v>16</v>
      </c>
      <c r="D952" t="s">
        <v>72</v>
      </c>
      <c r="E952" s="9">
        <v>23000</v>
      </c>
      <c r="F952" s="9">
        <f t="shared" si="13"/>
        <v>368000</v>
      </c>
    </row>
    <row r="953" spans="1:6" x14ac:dyDescent="0.25">
      <c r="A953" s="8"/>
      <c r="B953" t="s">
        <v>52</v>
      </c>
      <c r="C953">
        <v>24</v>
      </c>
      <c r="D953" t="s">
        <v>69</v>
      </c>
      <c r="E953" s="9">
        <v>24000</v>
      </c>
      <c r="F953" s="9">
        <f t="shared" si="13"/>
        <v>576000</v>
      </c>
    </row>
    <row r="954" spans="1:6" x14ac:dyDescent="0.25">
      <c r="A954" s="8"/>
      <c r="B954" t="s">
        <v>52</v>
      </c>
      <c r="C954">
        <v>5</v>
      </c>
      <c r="D954" t="s">
        <v>96</v>
      </c>
      <c r="E954" s="9">
        <v>27000</v>
      </c>
      <c r="F954" s="9">
        <f t="shared" si="13"/>
        <v>135000</v>
      </c>
    </row>
    <row r="955" spans="1:6" x14ac:dyDescent="0.25">
      <c r="A955" s="8"/>
      <c r="B955" t="s">
        <v>45</v>
      </c>
      <c r="C955">
        <v>2</v>
      </c>
      <c r="D955" t="s">
        <v>72</v>
      </c>
      <c r="E955" s="9">
        <v>25000</v>
      </c>
      <c r="F955" s="9">
        <f t="shared" si="13"/>
        <v>50000</v>
      </c>
    </row>
    <row r="956" spans="1:6" x14ac:dyDescent="0.25">
      <c r="A956" s="8">
        <v>45459</v>
      </c>
      <c r="B956" t="s">
        <v>52</v>
      </c>
      <c r="C956">
        <v>8</v>
      </c>
      <c r="D956" t="s">
        <v>71</v>
      </c>
      <c r="E956" s="9">
        <v>22000</v>
      </c>
      <c r="F956" s="9">
        <f t="shared" si="13"/>
        <v>176000</v>
      </c>
    </row>
    <row r="957" spans="1:6" x14ac:dyDescent="0.25">
      <c r="A957" s="8"/>
      <c r="B957" t="s">
        <v>52</v>
      </c>
      <c r="C957">
        <v>25</v>
      </c>
      <c r="D957" t="s">
        <v>72</v>
      </c>
      <c r="E957" s="9">
        <v>23000</v>
      </c>
      <c r="F957" s="9">
        <f t="shared" si="13"/>
        <v>575000</v>
      </c>
    </row>
    <row r="958" spans="1:6" x14ac:dyDescent="0.25">
      <c r="A958" s="8"/>
      <c r="B958" t="s">
        <v>52</v>
      </c>
      <c r="C958">
        <v>20</v>
      </c>
      <c r="D958" t="s">
        <v>69</v>
      </c>
      <c r="E958" s="9">
        <v>24000</v>
      </c>
      <c r="F958" s="9">
        <f t="shared" si="13"/>
        <v>480000</v>
      </c>
    </row>
    <row r="959" spans="1:6" x14ac:dyDescent="0.25">
      <c r="A959" s="8"/>
      <c r="B959" t="s">
        <v>45</v>
      </c>
      <c r="C959">
        <v>2</v>
      </c>
      <c r="D959" t="s">
        <v>69</v>
      </c>
      <c r="E959" s="9">
        <v>27000</v>
      </c>
      <c r="F959" s="9">
        <f t="shared" si="13"/>
        <v>54000</v>
      </c>
    </row>
    <row r="960" spans="1:6" x14ac:dyDescent="0.25">
      <c r="A960" s="8"/>
      <c r="B960" t="s">
        <v>45</v>
      </c>
      <c r="C960">
        <v>2</v>
      </c>
      <c r="D960" t="s">
        <v>72</v>
      </c>
      <c r="E960" s="9">
        <v>25000</v>
      </c>
      <c r="F960" s="9">
        <f t="shared" si="13"/>
        <v>50000</v>
      </c>
    </row>
    <row r="961" spans="1:6" x14ac:dyDescent="0.25">
      <c r="A961" s="8"/>
      <c r="B961" t="s">
        <v>45</v>
      </c>
      <c r="C961">
        <v>1</v>
      </c>
      <c r="D961" t="s">
        <v>69</v>
      </c>
      <c r="E961" s="9">
        <v>27000</v>
      </c>
      <c r="F961" s="9">
        <f t="shared" si="13"/>
        <v>27000</v>
      </c>
    </row>
    <row r="962" spans="1:6" x14ac:dyDescent="0.25">
      <c r="A962" s="8"/>
      <c r="B962" t="s">
        <v>45</v>
      </c>
      <c r="C962">
        <v>2</v>
      </c>
      <c r="D962" t="s">
        <v>72</v>
      </c>
      <c r="E962" s="9">
        <v>25000</v>
      </c>
      <c r="F962" s="9">
        <f t="shared" si="13"/>
        <v>50000</v>
      </c>
    </row>
    <row r="963" spans="1:6" x14ac:dyDescent="0.25">
      <c r="A963" s="8"/>
      <c r="B963" t="s">
        <v>45</v>
      </c>
      <c r="C963">
        <v>13</v>
      </c>
      <c r="D963" t="s">
        <v>137</v>
      </c>
      <c r="E963" s="9">
        <v>15000</v>
      </c>
      <c r="F963" s="9">
        <f t="shared" si="13"/>
        <v>195000</v>
      </c>
    </row>
    <row r="964" spans="1:6" x14ac:dyDescent="0.25">
      <c r="A964" s="8"/>
      <c r="B964" t="s">
        <v>100</v>
      </c>
      <c r="C964">
        <v>4</v>
      </c>
      <c r="D964" t="s">
        <v>96</v>
      </c>
      <c r="E964" s="9">
        <v>30000</v>
      </c>
      <c r="F964" s="9">
        <f t="shared" si="13"/>
        <v>120000</v>
      </c>
    </row>
    <row r="965" spans="1:6" x14ac:dyDescent="0.25">
      <c r="A965" s="8">
        <v>45460</v>
      </c>
      <c r="B965" t="s">
        <v>80</v>
      </c>
      <c r="C965">
        <v>10</v>
      </c>
      <c r="D965" t="s">
        <v>69</v>
      </c>
      <c r="E965" s="9">
        <v>25000</v>
      </c>
      <c r="F965" s="9">
        <f t="shared" si="13"/>
        <v>250000</v>
      </c>
    </row>
    <row r="966" spans="1:6" x14ac:dyDescent="0.25">
      <c r="A966" s="8"/>
      <c r="B966" t="s">
        <v>101</v>
      </c>
      <c r="C966">
        <v>10</v>
      </c>
      <c r="D966" t="s">
        <v>69</v>
      </c>
      <c r="E966" s="9">
        <v>25000</v>
      </c>
      <c r="F966" s="9">
        <f t="shared" si="13"/>
        <v>250000</v>
      </c>
    </row>
    <row r="967" spans="1:6" x14ac:dyDescent="0.25">
      <c r="A967" s="8"/>
      <c r="B967" t="s">
        <v>85</v>
      </c>
      <c r="C967">
        <v>15</v>
      </c>
      <c r="D967" t="s">
        <v>69</v>
      </c>
      <c r="E967" s="9">
        <v>25000</v>
      </c>
      <c r="F967" s="9">
        <f t="shared" si="13"/>
        <v>375000</v>
      </c>
    </row>
    <row r="968" spans="1:6" x14ac:dyDescent="0.25">
      <c r="A968" s="8"/>
      <c r="B968" t="s">
        <v>119</v>
      </c>
      <c r="C968">
        <v>4</v>
      </c>
      <c r="D968" t="s">
        <v>69</v>
      </c>
      <c r="E968" s="9">
        <v>25000</v>
      </c>
      <c r="F968" s="9">
        <f t="shared" si="13"/>
        <v>100000</v>
      </c>
    </row>
    <row r="969" spans="1:6" x14ac:dyDescent="0.25">
      <c r="A969" s="8"/>
      <c r="B969" t="s">
        <v>82</v>
      </c>
      <c r="C969">
        <v>55</v>
      </c>
      <c r="D969" t="s">
        <v>72</v>
      </c>
      <c r="E969" s="9">
        <v>23000</v>
      </c>
      <c r="F969" s="9">
        <f t="shared" si="13"/>
        <v>1265000</v>
      </c>
    </row>
    <row r="970" spans="1:6" x14ac:dyDescent="0.25">
      <c r="A970" s="8"/>
      <c r="B970" t="s">
        <v>82</v>
      </c>
      <c r="C970">
        <v>6</v>
      </c>
      <c r="D970" t="s">
        <v>71</v>
      </c>
      <c r="E970" s="9">
        <v>21000</v>
      </c>
      <c r="F970" s="9">
        <f t="shared" si="13"/>
        <v>126000</v>
      </c>
    </row>
    <row r="971" spans="1:6" x14ac:dyDescent="0.25">
      <c r="A971" s="8">
        <v>45461</v>
      </c>
      <c r="B971" t="s">
        <v>98</v>
      </c>
      <c r="C971">
        <v>6</v>
      </c>
      <c r="D971" t="s">
        <v>72</v>
      </c>
      <c r="E971" s="9">
        <v>23000</v>
      </c>
      <c r="F971" s="9">
        <f t="shared" si="13"/>
        <v>138000</v>
      </c>
    </row>
    <row r="972" spans="1:6" x14ac:dyDescent="0.25">
      <c r="A972" s="8"/>
      <c r="B972" t="s">
        <v>130</v>
      </c>
      <c r="C972">
        <v>10</v>
      </c>
      <c r="D972" t="s">
        <v>72</v>
      </c>
      <c r="E972" s="9">
        <v>23000</v>
      </c>
      <c r="F972" s="9">
        <f t="shared" si="13"/>
        <v>230000</v>
      </c>
    </row>
    <row r="973" spans="1:6" x14ac:dyDescent="0.25">
      <c r="A973" s="8"/>
      <c r="B973" t="s">
        <v>52</v>
      </c>
      <c r="C973">
        <v>5</v>
      </c>
      <c r="D973" t="s">
        <v>71</v>
      </c>
      <c r="E973" s="9">
        <v>22000</v>
      </c>
      <c r="F973" s="9">
        <f t="shared" si="13"/>
        <v>110000</v>
      </c>
    </row>
    <row r="974" spans="1:6" x14ac:dyDescent="0.25">
      <c r="A974" s="8"/>
      <c r="B974" t="s">
        <v>52</v>
      </c>
      <c r="C974">
        <v>22</v>
      </c>
      <c r="D974" t="s">
        <v>72</v>
      </c>
      <c r="E974" s="9">
        <v>23000</v>
      </c>
      <c r="F974" s="9">
        <f t="shared" si="13"/>
        <v>506000</v>
      </c>
    </row>
    <row r="975" spans="1:6" x14ac:dyDescent="0.25">
      <c r="A975" s="8"/>
      <c r="B975" t="s">
        <v>52</v>
      </c>
      <c r="C975">
        <v>33</v>
      </c>
      <c r="D975" t="s">
        <v>69</v>
      </c>
      <c r="E975" s="9">
        <v>24000</v>
      </c>
      <c r="F975" s="9">
        <f t="shared" si="13"/>
        <v>792000</v>
      </c>
    </row>
    <row r="976" spans="1:6" x14ac:dyDescent="0.25">
      <c r="A976" s="8">
        <v>45462</v>
      </c>
      <c r="B976" t="s">
        <v>113</v>
      </c>
      <c r="C976">
        <v>4</v>
      </c>
      <c r="D976" t="s">
        <v>96</v>
      </c>
      <c r="E976" s="9">
        <v>30000</v>
      </c>
      <c r="F976" s="9">
        <f t="shared" si="13"/>
        <v>120000</v>
      </c>
    </row>
    <row r="977" spans="1:6" x14ac:dyDescent="0.25">
      <c r="A977" s="8">
        <v>45463</v>
      </c>
      <c r="B977" t="s">
        <v>52</v>
      </c>
      <c r="C977">
        <v>9</v>
      </c>
      <c r="D977" t="s">
        <v>96</v>
      </c>
      <c r="E977" s="9">
        <v>27000</v>
      </c>
      <c r="F977" s="9">
        <f t="shared" si="13"/>
        <v>243000</v>
      </c>
    </row>
    <row r="978" spans="1:6" x14ac:dyDescent="0.25">
      <c r="A978" s="8"/>
      <c r="B978" t="s">
        <v>52</v>
      </c>
      <c r="C978">
        <v>11</v>
      </c>
      <c r="D978" t="s">
        <v>71</v>
      </c>
      <c r="E978" s="9">
        <v>22000</v>
      </c>
      <c r="F978" s="9">
        <f t="shared" si="13"/>
        <v>242000</v>
      </c>
    </row>
    <row r="979" spans="1:6" x14ac:dyDescent="0.25">
      <c r="A979" s="8"/>
      <c r="B979" t="s">
        <v>52</v>
      </c>
      <c r="C979">
        <v>30</v>
      </c>
      <c r="D979" t="s">
        <v>69</v>
      </c>
      <c r="E979" s="9">
        <v>24000</v>
      </c>
      <c r="F979" s="9">
        <f t="shared" si="13"/>
        <v>720000</v>
      </c>
    </row>
    <row r="980" spans="1:6" x14ac:dyDescent="0.25">
      <c r="A980" s="8"/>
      <c r="B980" t="s">
        <v>52</v>
      </c>
      <c r="C980">
        <v>50</v>
      </c>
      <c r="D980" t="s">
        <v>72</v>
      </c>
      <c r="E980" s="9">
        <v>23000</v>
      </c>
      <c r="F980" s="9">
        <f t="shared" si="13"/>
        <v>1150000</v>
      </c>
    </row>
    <row r="981" spans="1:6" x14ac:dyDescent="0.25">
      <c r="A981" s="8"/>
      <c r="B981" t="s">
        <v>211</v>
      </c>
      <c r="C981">
        <v>2</v>
      </c>
      <c r="D981" t="s">
        <v>72</v>
      </c>
      <c r="E981" s="9">
        <v>25000</v>
      </c>
      <c r="F981" s="9">
        <f t="shared" si="13"/>
        <v>50000</v>
      </c>
    </row>
    <row r="982" spans="1:6" x14ac:dyDescent="0.25">
      <c r="A982" s="8"/>
      <c r="B982" t="s">
        <v>181</v>
      </c>
      <c r="C982">
        <v>5</v>
      </c>
      <c r="D982" t="s">
        <v>72</v>
      </c>
      <c r="E982" s="9">
        <v>20000</v>
      </c>
      <c r="F982" s="9">
        <f t="shared" si="13"/>
        <v>100000</v>
      </c>
    </row>
    <row r="983" spans="1:6" x14ac:dyDescent="0.25">
      <c r="A983" s="8"/>
      <c r="B983" t="s">
        <v>39</v>
      </c>
      <c r="C983">
        <v>40</v>
      </c>
      <c r="D983" t="s">
        <v>72</v>
      </c>
      <c r="E983" s="9">
        <v>23000</v>
      </c>
      <c r="F983" s="9">
        <f t="shared" si="13"/>
        <v>920000</v>
      </c>
    </row>
    <row r="984" spans="1:6" x14ac:dyDescent="0.25">
      <c r="A984" s="8">
        <v>45464</v>
      </c>
      <c r="B984" t="s">
        <v>42</v>
      </c>
      <c r="C984">
        <v>20</v>
      </c>
      <c r="D984" t="s">
        <v>69</v>
      </c>
      <c r="E984" s="9">
        <v>24000</v>
      </c>
      <c r="F984" s="9">
        <f t="shared" si="13"/>
        <v>480000</v>
      </c>
    </row>
    <row r="985" spans="1:6" x14ac:dyDescent="0.25">
      <c r="A985" s="8"/>
      <c r="B985" t="s">
        <v>219</v>
      </c>
      <c r="C985">
        <v>1</v>
      </c>
      <c r="D985" t="s">
        <v>96</v>
      </c>
      <c r="E985" s="9">
        <v>28000</v>
      </c>
      <c r="F985" s="9">
        <f t="shared" si="13"/>
        <v>28000</v>
      </c>
    </row>
    <row r="986" spans="1:6" x14ac:dyDescent="0.25">
      <c r="A986" s="8">
        <v>45465</v>
      </c>
      <c r="B986" t="s">
        <v>52</v>
      </c>
      <c r="C986">
        <v>6</v>
      </c>
      <c r="D986" t="s">
        <v>71</v>
      </c>
      <c r="E986" s="9">
        <v>22000</v>
      </c>
      <c r="F986" s="9">
        <f t="shared" si="13"/>
        <v>132000</v>
      </c>
    </row>
    <row r="987" spans="1:6" x14ac:dyDescent="0.25">
      <c r="A987" s="8"/>
      <c r="B987" t="s">
        <v>52</v>
      </c>
      <c r="C987">
        <v>52</v>
      </c>
      <c r="D987" t="s">
        <v>72</v>
      </c>
      <c r="E987" s="9">
        <v>23000</v>
      </c>
      <c r="F987" s="9">
        <f t="shared" si="13"/>
        <v>1196000</v>
      </c>
    </row>
    <row r="988" spans="1:6" x14ac:dyDescent="0.25">
      <c r="A988" s="8"/>
      <c r="B988" t="s">
        <v>220</v>
      </c>
      <c r="C988">
        <v>3</v>
      </c>
      <c r="D988" t="s">
        <v>96</v>
      </c>
      <c r="E988" s="9">
        <v>28000</v>
      </c>
      <c r="F988" s="9">
        <f t="shared" si="13"/>
        <v>84000</v>
      </c>
    </row>
    <row r="989" spans="1:6" x14ac:dyDescent="0.25">
      <c r="A989" s="8"/>
      <c r="B989" t="s">
        <v>221</v>
      </c>
      <c r="C989">
        <v>3</v>
      </c>
      <c r="D989" t="s">
        <v>96</v>
      </c>
      <c r="E989" s="9">
        <v>28000</v>
      </c>
      <c r="F989" s="9">
        <f t="shared" ref="F989:F1050" si="14">+E989*C989</f>
        <v>84000</v>
      </c>
    </row>
    <row r="990" spans="1:6" x14ac:dyDescent="0.25">
      <c r="A990" s="8">
        <v>45466</v>
      </c>
      <c r="B990" t="s">
        <v>98</v>
      </c>
      <c r="C990">
        <v>9</v>
      </c>
      <c r="D990" t="s">
        <v>72</v>
      </c>
      <c r="E990" s="9">
        <v>24000</v>
      </c>
      <c r="F990" s="9">
        <f t="shared" si="14"/>
        <v>216000</v>
      </c>
    </row>
    <row r="991" spans="1:6" x14ac:dyDescent="0.25">
      <c r="A991" s="8"/>
      <c r="B991" t="s">
        <v>101</v>
      </c>
      <c r="C991">
        <v>10</v>
      </c>
      <c r="D991" t="s">
        <v>69</v>
      </c>
      <c r="E991" s="9">
        <v>25000</v>
      </c>
      <c r="F991" s="9">
        <f t="shared" si="14"/>
        <v>250000</v>
      </c>
    </row>
    <row r="992" spans="1:6" x14ac:dyDescent="0.25">
      <c r="A992" s="8"/>
      <c r="B992" t="s">
        <v>45</v>
      </c>
      <c r="C992">
        <v>6</v>
      </c>
      <c r="D992" t="s">
        <v>72</v>
      </c>
      <c r="E992" s="9">
        <v>25000</v>
      </c>
      <c r="F992" s="9">
        <f t="shared" si="14"/>
        <v>150000</v>
      </c>
    </row>
    <row r="993" spans="1:6" x14ac:dyDescent="0.25">
      <c r="A993" s="8"/>
      <c r="B993" t="s">
        <v>45</v>
      </c>
      <c r="C993">
        <v>7</v>
      </c>
      <c r="D993" t="s">
        <v>69</v>
      </c>
      <c r="E993" s="9">
        <v>27000</v>
      </c>
      <c r="F993" s="9">
        <f t="shared" si="14"/>
        <v>189000</v>
      </c>
    </row>
    <row r="994" spans="1:6" x14ac:dyDescent="0.25">
      <c r="A994" s="8"/>
      <c r="B994" t="s">
        <v>45</v>
      </c>
      <c r="C994">
        <v>5</v>
      </c>
      <c r="D994" t="s">
        <v>137</v>
      </c>
      <c r="E994" s="9">
        <v>15000</v>
      </c>
      <c r="F994" s="9">
        <f t="shared" si="14"/>
        <v>75000</v>
      </c>
    </row>
    <row r="995" spans="1:6" x14ac:dyDescent="0.25">
      <c r="A995" s="8"/>
      <c r="B995" t="s">
        <v>52</v>
      </c>
      <c r="C995">
        <v>8</v>
      </c>
      <c r="D995" t="s">
        <v>71</v>
      </c>
      <c r="E995" s="9">
        <v>23000</v>
      </c>
      <c r="F995" s="9">
        <f t="shared" si="14"/>
        <v>184000</v>
      </c>
    </row>
    <row r="996" spans="1:6" x14ac:dyDescent="0.25">
      <c r="A996" s="8"/>
      <c r="B996" t="s">
        <v>52</v>
      </c>
      <c r="C996">
        <v>40</v>
      </c>
      <c r="D996" t="s">
        <v>72</v>
      </c>
      <c r="E996" s="9">
        <v>24000</v>
      </c>
      <c r="F996" s="9">
        <f t="shared" si="14"/>
        <v>960000</v>
      </c>
    </row>
    <row r="997" spans="1:6" x14ac:dyDescent="0.25">
      <c r="A997" s="8"/>
      <c r="B997" t="s">
        <v>52</v>
      </c>
      <c r="C997">
        <v>15</v>
      </c>
      <c r="D997" t="s">
        <v>69</v>
      </c>
      <c r="E997" s="9">
        <v>25000</v>
      </c>
      <c r="F997" s="9">
        <f t="shared" si="14"/>
        <v>375000</v>
      </c>
    </row>
    <row r="998" spans="1:6" x14ac:dyDescent="0.25">
      <c r="A998" s="8">
        <v>45467</v>
      </c>
      <c r="B998" t="s">
        <v>39</v>
      </c>
      <c r="C998">
        <v>42</v>
      </c>
      <c r="D998" t="s">
        <v>72</v>
      </c>
      <c r="E998" s="9">
        <v>23000</v>
      </c>
      <c r="F998" s="9">
        <f t="shared" si="14"/>
        <v>966000</v>
      </c>
    </row>
    <row r="999" spans="1:6" x14ac:dyDescent="0.25">
      <c r="A999" s="8">
        <v>45468</v>
      </c>
      <c r="B999" t="s">
        <v>100</v>
      </c>
      <c r="C999">
        <v>3</v>
      </c>
      <c r="D999" t="s">
        <v>96</v>
      </c>
      <c r="E999" s="9">
        <v>30000</v>
      </c>
      <c r="F999" s="9">
        <f t="shared" si="14"/>
        <v>90000</v>
      </c>
    </row>
    <row r="1000" spans="1:6" x14ac:dyDescent="0.25">
      <c r="A1000" s="8"/>
      <c r="B1000" t="s">
        <v>42</v>
      </c>
      <c r="C1000">
        <v>20</v>
      </c>
      <c r="D1000" t="s">
        <v>69</v>
      </c>
      <c r="E1000" s="9">
        <v>24000</v>
      </c>
      <c r="F1000" s="9">
        <f t="shared" si="14"/>
        <v>480000</v>
      </c>
    </row>
    <row r="1001" spans="1:6" x14ac:dyDescent="0.25">
      <c r="A1001" s="8"/>
      <c r="B1001" t="s">
        <v>98</v>
      </c>
      <c r="C1001">
        <v>10</v>
      </c>
      <c r="D1001" t="s">
        <v>72</v>
      </c>
      <c r="E1001" s="9">
        <v>24000</v>
      </c>
      <c r="F1001" s="9">
        <f t="shared" si="14"/>
        <v>240000</v>
      </c>
    </row>
    <row r="1002" spans="1:6" x14ac:dyDescent="0.25">
      <c r="A1002" s="8"/>
      <c r="B1002" t="s">
        <v>52</v>
      </c>
      <c r="C1002">
        <v>47</v>
      </c>
      <c r="D1002" t="s">
        <v>72</v>
      </c>
      <c r="E1002" s="9">
        <v>24000</v>
      </c>
      <c r="F1002" s="9">
        <f t="shared" si="14"/>
        <v>1128000</v>
      </c>
    </row>
    <row r="1003" spans="1:6" x14ac:dyDescent="0.25">
      <c r="A1003" s="8"/>
      <c r="B1003" t="s">
        <v>52</v>
      </c>
      <c r="C1003">
        <v>13</v>
      </c>
      <c r="D1003" t="s">
        <v>69</v>
      </c>
      <c r="E1003" s="9">
        <v>25000</v>
      </c>
      <c r="F1003" s="9">
        <f t="shared" si="14"/>
        <v>325000</v>
      </c>
    </row>
    <row r="1004" spans="1:6" x14ac:dyDescent="0.25">
      <c r="A1004" s="8"/>
      <c r="B1004" t="s">
        <v>52</v>
      </c>
      <c r="C1004">
        <v>8</v>
      </c>
      <c r="D1004" t="s">
        <v>71</v>
      </c>
      <c r="E1004" s="9">
        <v>23000</v>
      </c>
      <c r="F1004" s="9">
        <f t="shared" si="14"/>
        <v>184000</v>
      </c>
    </row>
    <row r="1005" spans="1:6" x14ac:dyDescent="0.25">
      <c r="A1005" s="8"/>
      <c r="B1005" t="s">
        <v>52</v>
      </c>
      <c r="C1005">
        <v>3</v>
      </c>
      <c r="D1005" t="s">
        <v>96</v>
      </c>
      <c r="E1005" s="9">
        <v>27000</v>
      </c>
      <c r="F1005" s="9">
        <f t="shared" si="14"/>
        <v>81000</v>
      </c>
    </row>
    <row r="1006" spans="1:6" x14ac:dyDescent="0.25">
      <c r="A1006" s="8"/>
      <c r="B1006" t="s">
        <v>130</v>
      </c>
      <c r="C1006">
        <v>10</v>
      </c>
      <c r="D1006" t="s">
        <v>72</v>
      </c>
      <c r="E1006" s="9">
        <v>24000</v>
      </c>
      <c r="F1006" s="9">
        <f t="shared" si="14"/>
        <v>240000</v>
      </c>
    </row>
    <row r="1007" spans="1:6" x14ac:dyDescent="0.25">
      <c r="A1007" s="8"/>
      <c r="B1007" t="s">
        <v>181</v>
      </c>
      <c r="C1007">
        <v>6</v>
      </c>
      <c r="D1007" t="s">
        <v>72</v>
      </c>
      <c r="E1007" s="9">
        <v>20000</v>
      </c>
      <c r="F1007" s="9">
        <f t="shared" si="14"/>
        <v>120000</v>
      </c>
    </row>
    <row r="1008" spans="1:6" x14ac:dyDescent="0.25">
      <c r="A1008" s="8">
        <v>45469</v>
      </c>
      <c r="B1008" t="s">
        <v>45</v>
      </c>
      <c r="C1008">
        <v>5</v>
      </c>
      <c r="D1008" t="s">
        <v>72</v>
      </c>
      <c r="E1008" s="9">
        <v>25000</v>
      </c>
      <c r="F1008" s="9">
        <f t="shared" si="14"/>
        <v>125000</v>
      </c>
    </row>
    <row r="1009" spans="1:6" x14ac:dyDescent="0.25">
      <c r="A1009" s="8"/>
      <c r="B1009" t="s">
        <v>80</v>
      </c>
      <c r="C1009">
        <v>15</v>
      </c>
      <c r="D1009" t="s">
        <v>72</v>
      </c>
      <c r="E1009" s="9">
        <v>25000</v>
      </c>
      <c r="F1009" s="9">
        <f t="shared" si="14"/>
        <v>375000</v>
      </c>
    </row>
    <row r="1010" spans="1:6" x14ac:dyDescent="0.25">
      <c r="A1010" s="8"/>
      <c r="B1010" t="s">
        <v>45</v>
      </c>
      <c r="C1010">
        <v>1</v>
      </c>
      <c r="D1010" t="s">
        <v>137</v>
      </c>
      <c r="E1010" s="9">
        <v>15000</v>
      </c>
      <c r="F1010" s="9">
        <f t="shared" si="14"/>
        <v>15000</v>
      </c>
    </row>
    <row r="1011" spans="1:6" x14ac:dyDescent="0.25">
      <c r="A1011" s="8"/>
      <c r="B1011" t="s">
        <v>178</v>
      </c>
      <c r="C1011">
        <v>4</v>
      </c>
      <c r="D1011" t="s">
        <v>69</v>
      </c>
      <c r="E1011" s="9">
        <v>25000</v>
      </c>
      <c r="F1011" s="9">
        <f t="shared" si="14"/>
        <v>100000</v>
      </c>
    </row>
    <row r="1012" spans="1:6" x14ac:dyDescent="0.25">
      <c r="A1012" s="8"/>
      <c r="B1012" t="s">
        <v>52</v>
      </c>
      <c r="C1012">
        <v>10</v>
      </c>
      <c r="D1012" t="s">
        <v>71</v>
      </c>
      <c r="E1012" s="9">
        <v>23000</v>
      </c>
      <c r="F1012" s="9">
        <f t="shared" si="14"/>
        <v>230000</v>
      </c>
    </row>
    <row r="1013" spans="1:6" x14ac:dyDescent="0.25">
      <c r="A1013" s="8"/>
      <c r="B1013" t="s">
        <v>52</v>
      </c>
      <c r="C1013">
        <v>30</v>
      </c>
      <c r="D1013" t="s">
        <v>72</v>
      </c>
      <c r="E1013" s="9">
        <v>24000</v>
      </c>
      <c r="F1013" s="9">
        <f t="shared" si="14"/>
        <v>720000</v>
      </c>
    </row>
    <row r="1014" spans="1:6" x14ac:dyDescent="0.25">
      <c r="A1014" s="8"/>
      <c r="B1014" t="s">
        <v>52</v>
      </c>
      <c r="C1014">
        <v>20</v>
      </c>
      <c r="D1014" t="s">
        <v>69</v>
      </c>
      <c r="E1014" s="9">
        <v>25000</v>
      </c>
      <c r="F1014" s="9">
        <f t="shared" si="14"/>
        <v>500000</v>
      </c>
    </row>
    <row r="1015" spans="1:6" x14ac:dyDescent="0.25">
      <c r="A1015" s="8"/>
      <c r="B1015" t="s">
        <v>52</v>
      </c>
      <c r="C1015">
        <v>6</v>
      </c>
      <c r="D1015" t="s">
        <v>96</v>
      </c>
      <c r="E1015" s="9">
        <v>27000</v>
      </c>
      <c r="F1015" s="9">
        <f t="shared" si="14"/>
        <v>162000</v>
      </c>
    </row>
    <row r="1016" spans="1:6" x14ac:dyDescent="0.25">
      <c r="A1016" s="8"/>
      <c r="B1016" t="s">
        <v>89</v>
      </c>
      <c r="C1016">
        <v>10</v>
      </c>
      <c r="D1016" t="s">
        <v>72</v>
      </c>
      <c r="E1016" s="9">
        <v>25000</v>
      </c>
      <c r="F1016" s="9">
        <f t="shared" si="14"/>
        <v>250000</v>
      </c>
    </row>
    <row r="1017" spans="1:6" x14ac:dyDescent="0.25">
      <c r="A1017" s="8">
        <v>45470</v>
      </c>
      <c r="B1017" t="s">
        <v>82</v>
      </c>
      <c r="C1017">
        <v>64</v>
      </c>
      <c r="D1017" t="s">
        <v>72</v>
      </c>
      <c r="E1017" s="9">
        <v>23000</v>
      </c>
      <c r="F1017" s="9">
        <f t="shared" si="14"/>
        <v>1472000</v>
      </c>
    </row>
    <row r="1018" spans="1:6" x14ac:dyDescent="0.25">
      <c r="A1018" s="8"/>
      <c r="B1018" t="s">
        <v>101</v>
      </c>
      <c r="C1018">
        <v>13</v>
      </c>
      <c r="D1018" t="s">
        <v>69</v>
      </c>
      <c r="E1018" s="9">
        <v>25000</v>
      </c>
      <c r="F1018" s="9">
        <f t="shared" si="14"/>
        <v>325000</v>
      </c>
    </row>
    <row r="1019" spans="1:6" x14ac:dyDescent="0.25">
      <c r="A1019" s="8"/>
      <c r="B1019" t="s">
        <v>211</v>
      </c>
      <c r="C1019">
        <v>1</v>
      </c>
      <c r="D1019" t="s">
        <v>69</v>
      </c>
      <c r="E1019" s="9">
        <v>27000</v>
      </c>
      <c r="F1019" s="9">
        <f t="shared" si="14"/>
        <v>27000</v>
      </c>
    </row>
    <row r="1020" spans="1:6" x14ac:dyDescent="0.25">
      <c r="A1020" s="8"/>
      <c r="B1020" t="s">
        <v>211</v>
      </c>
      <c r="C1020">
        <v>1</v>
      </c>
      <c r="D1020" t="s">
        <v>69</v>
      </c>
      <c r="E1020" s="9">
        <v>25000</v>
      </c>
      <c r="F1020" s="9">
        <f t="shared" si="14"/>
        <v>25000</v>
      </c>
    </row>
    <row r="1021" spans="1:6" x14ac:dyDescent="0.25">
      <c r="A1021" s="8"/>
      <c r="B1021" t="s">
        <v>42</v>
      </c>
      <c r="C1021">
        <v>10</v>
      </c>
      <c r="D1021" t="s">
        <v>69</v>
      </c>
      <c r="E1021" s="9">
        <v>24000</v>
      </c>
      <c r="F1021" s="9">
        <f t="shared" si="14"/>
        <v>240000</v>
      </c>
    </row>
    <row r="1022" spans="1:6" x14ac:dyDescent="0.25">
      <c r="A1022" s="8"/>
      <c r="B1022" t="s">
        <v>211</v>
      </c>
      <c r="C1022">
        <v>3</v>
      </c>
      <c r="D1022" t="s">
        <v>69</v>
      </c>
      <c r="E1022" s="9">
        <v>27000</v>
      </c>
      <c r="F1022" s="9">
        <f t="shared" si="14"/>
        <v>81000</v>
      </c>
    </row>
    <row r="1023" spans="1:6" x14ac:dyDescent="0.25">
      <c r="A1023" s="8">
        <v>45471</v>
      </c>
      <c r="B1023" t="s">
        <v>100</v>
      </c>
      <c r="C1023">
        <v>5</v>
      </c>
      <c r="D1023" t="s">
        <v>69</v>
      </c>
      <c r="E1023" s="9">
        <v>28000</v>
      </c>
      <c r="F1023" s="9">
        <f t="shared" si="14"/>
        <v>140000</v>
      </c>
    </row>
    <row r="1024" spans="1:6" x14ac:dyDescent="0.25">
      <c r="A1024" s="8"/>
      <c r="B1024" t="s">
        <v>221</v>
      </c>
      <c r="C1024">
        <v>3</v>
      </c>
      <c r="D1024" t="s">
        <v>96</v>
      </c>
      <c r="E1024" s="9">
        <v>28000</v>
      </c>
      <c r="F1024" s="9">
        <f t="shared" si="14"/>
        <v>84000</v>
      </c>
    </row>
    <row r="1025" spans="1:12" x14ac:dyDescent="0.25">
      <c r="A1025" s="8"/>
      <c r="B1025" t="s">
        <v>130</v>
      </c>
      <c r="C1025">
        <v>10</v>
      </c>
      <c r="D1025" t="s">
        <v>71</v>
      </c>
      <c r="E1025" s="9">
        <v>23000</v>
      </c>
      <c r="F1025" s="9">
        <f t="shared" si="14"/>
        <v>230000</v>
      </c>
    </row>
    <row r="1026" spans="1:12" x14ac:dyDescent="0.25">
      <c r="A1026" s="8"/>
      <c r="B1026" t="s">
        <v>130</v>
      </c>
      <c r="C1026">
        <v>5</v>
      </c>
      <c r="D1026" t="s">
        <v>72</v>
      </c>
      <c r="E1026" s="9">
        <v>24000</v>
      </c>
      <c r="F1026" s="9">
        <f t="shared" si="14"/>
        <v>120000</v>
      </c>
    </row>
    <row r="1027" spans="1:12" x14ac:dyDescent="0.25">
      <c r="A1027" s="8"/>
      <c r="B1027" t="s">
        <v>42</v>
      </c>
      <c r="C1027">
        <v>10</v>
      </c>
      <c r="D1027" t="s">
        <v>69</v>
      </c>
      <c r="E1027" s="9">
        <v>24000</v>
      </c>
      <c r="F1027" s="9">
        <f t="shared" si="14"/>
        <v>240000</v>
      </c>
    </row>
    <row r="1028" spans="1:12" x14ac:dyDescent="0.25">
      <c r="A1028" s="8">
        <v>45472</v>
      </c>
      <c r="B1028" t="s">
        <v>39</v>
      </c>
      <c r="C1028">
        <v>62</v>
      </c>
      <c r="D1028" t="s">
        <v>72</v>
      </c>
      <c r="E1028" s="9">
        <v>23000</v>
      </c>
      <c r="F1028" s="9">
        <f t="shared" si="14"/>
        <v>1426000</v>
      </c>
    </row>
    <row r="1029" spans="1:12" x14ac:dyDescent="0.25">
      <c r="A1029" s="8"/>
      <c r="B1029" t="s">
        <v>211</v>
      </c>
      <c r="C1029">
        <v>5</v>
      </c>
      <c r="D1029" t="s">
        <v>69</v>
      </c>
      <c r="E1029" s="9">
        <v>25000</v>
      </c>
      <c r="F1029" s="9">
        <f t="shared" si="14"/>
        <v>125000</v>
      </c>
    </row>
    <row r="1030" spans="1:12" x14ac:dyDescent="0.25">
      <c r="A1030" s="8"/>
      <c r="B1030" t="s">
        <v>52</v>
      </c>
      <c r="C1030">
        <v>25</v>
      </c>
      <c r="D1030" t="s">
        <v>72</v>
      </c>
      <c r="E1030" s="9">
        <v>23000</v>
      </c>
      <c r="F1030" s="9">
        <f t="shared" si="14"/>
        <v>575000</v>
      </c>
    </row>
    <row r="1031" spans="1:12" x14ac:dyDescent="0.25">
      <c r="A1031" s="8"/>
      <c r="B1031" t="s">
        <v>52</v>
      </c>
      <c r="C1031">
        <v>25</v>
      </c>
      <c r="D1031" t="s">
        <v>69</v>
      </c>
      <c r="E1031" s="9">
        <v>24000</v>
      </c>
      <c r="F1031" s="9">
        <f t="shared" si="14"/>
        <v>600000</v>
      </c>
    </row>
    <row r="1032" spans="1:12" x14ac:dyDescent="0.25">
      <c r="A1032" s="8"/>
      <c r="B1032" t="s">
        <v>52</v>
      </c>
      <c r="C1032">
        <v>3</v>
      </c>
      <c r="D1032" t="s">
        <v>71</v>
      </c>
      <c r="E1032" s="9">
        <v>22000</v>
      </c>
      <c r="F1032" s="9">
        <f t="shared" si="14"/>
        <v>66000</v>
      </c>
    </row>
    <row r="1033" spans="1:12" x14ac:dyDescent="0.25">
      <c r="A1033" s="8"/>
      <c r="B1033" t="s">
        <v>52</v>
      </c>
      <c r="C1033">
        <v>3</v>
      </c>
      <c r="D1033" t="s">
        <v>96</v>
      </c>
      <c r="E1033" s="9">
        <v>27000</v>
      </c>
      <c r="F1033" s="9">
        <f t="shared" si="14"/>
        <v>81000</v>
      </c>
    </row>
    <row r="1034" spans="1:12" x14ac:dyDescent="0.25">
      <c r="A1034" s="8"/>
      <c r="B1034" t="s">
        <v>118</v>
      </c>
      <c r="C1034">
        <v>2</v>
      </c>
      <c r="D1034" t="s">
        <v>69</v>
      </c>
      <c r="E1034" s="9">
        <v>25000</v>
      </c>
      <c r="F1034" s="9">
        <f t="shared" si="14"/>
        <v>50000</v>
      </c>
    </row>
    <row r="1035" spans="1:12" x14ac:dyDescent="0.25">
      <c r="A1035" s="8">
        <v>45473</v>
      </c>
      <c r="B1035" t="s">
        <v>85</v>
      </c>
      <c r="C1035">
        <v>10</v>
      </c>
      <c r="D1035" t="s">
        <v>69</v>
      </c>
      <c r="E1035" s="9">
        <v>25000</v>
      </c>
      <c r="F1035" s="9">
        <f t="shared" si="14"/>
        <v>250000</v>
      </c>
    </row>
    <row r="1036" spans="1:12" x14ac:dyDescent="0.25">
      <c r="A1036" s="8"/>
      <c r="B1036" t="s">
        <v>45</v>
      </c>
      <c r="C1036">
        <v>1</v>
      </c>
      <c r="D1036" t="s">
        <v>72</v>
      </c>
      <c r="E1036" s="9">
        <v>25000</v>
      </c>
      <c r="F1036" s="9">
        <f t="shared" si="14"/>
        <v>25000</v>
      </c>
    </row>
    <row r="1037" spans="1:12" s="15" customFormat="1" x14ac:dyDescent="0.25">
      <c r="A1037" s="12"/>
      <c r="B1037" s="15" t="s">
        <v>217</v>
      </c>
      <c r="C1037" s="15">
        <v>5</v>
      </c>
      <c r="D1037" s="15" t="s">
        <v>72</v>
      </c>
      <c r="E1037" s="13">
        <v>25000</v>
      </c>
      <c r="F1037" s="13">
        <f t="shared" si="14"/>
        <v>125000</v>
      </c>
      <c r="I1037" s="13"/>
      <c r="L1037" s="13"/>
    </row>
    <row r="1038" spans="1:12" x14ac:dyDescent="0.25">
      <c r="A1038" s="8"/>
      <c r="E1038" s="9"/>
      <c r="F1038" s="9">
        <f t="shared" si="14"/>
        <v>0</v>
      </c>
      <c r="G1038" s="31" t="e">
        <f>+SUM(F1038:F1203)/SUM(C1038:C1203)</f>
        <v>#DIV/0!</v>
      </c>
      <c r="H1038" s="36" t="s">
        <v>139</v>
      </c>
      <c r="I1038" s="31">
        <v>25</v>
      </c>
      <c r="J1038" s="30"/>
    </row>
    <row r="1039" spans="1:12" x14ac:dyDescent="0.25">
      <c r="A1039" s="8"/>
      <c r="E1039" s="9"/>
      <c r="F1039" s="9">
        <f t="shared" si="14"/>
        <v>0</v>
      </c>
    </row>
    <row r="1040" spans="1:12" x14ac:dyDescent="0.25">
      <c r="A1040" s="8"/>
      <c r="E1040" s="9"/>
      <c r="F1040" s="9">
        <f t="shared" si="14"/>
        <v>0</v>
      </c>
      <c r="H1040" s="40" t="s">
        <v>144</v>
      </c>
      <c r="I1040" s="40"/>
      <c r="K1040" s="40" t="s">
        <v>141</v>
      </c>
      <c r="L1040" s="40"/>
    </row>
    <row r="1041" spans="1:13" x14ac:dyDescent="0.25">
      <c r="A1041" s="8"/>
      <c r="E1041" s="9"/>
      <c r="F1041" s="9">
        <f t="shared" si="14"/>
        <v>0</v>
      </c>
      <c r="H1041" t="s">
        <v>139</v>
      </c>
      <c r="I1041" s="17">
        <f>60/100*10*L1041*I1038</f>
        <v>1242000</v>
      </c>
      <c r="K1041" t="s">
        <v>140</v>
      </c>
      <c r="L1041" s="9">
        <v>8280</v>
      </c>
      <c r="M1041" t="s">
        <v>146</v>
      </c>
    </row>
    <row r="1042" spans="1:13" x14ac:dyDescent="0.25">
      <c r="A1042" s="8"/>
      <c r="E1042" s="9"/>
      <c r="F1042" s="9">
        <f t="shared" si="14"/>
        <v>0</v>
      </c>
      <c r="H1042" t="s">
        <v>48</v>
      </c>
      <c r="I1042" s="9">
        <f>+SUM(C1038:C1250)*L1042</f>
        <v>0</v>
      </c>
      <c r="K1042" t="s">
        <v>48</v>
      </c>
      <c r="L1042" s="9">
        <v>520</v>
      </c>
      <c r="M1042" t="s">
        <v>147</v>
      </c>
    </row>
    <row r="1043" spans="1:13" x14ac:dyDescent="0.25">
      <c r="A1043" s="8"/>
      <c r="E1043" s="9"/>
      <c r="F1043" s="9">
        <f t="shared" si="14"/>
        <v>0</v>
      </c>
      <c r="H1043" t="s">
        <v>142</v>
      </c>
      <c r="I1043" s="9">
        <f>+L1043*31*(L1045+L1046)</f>
        <v>25389000</v>
      </c>
      <c r="K1043" t="s">
        <v>142</v>
      </c>
      <c r="L1043" s="9">
        <v>63000</v>
      </c>
      <c r="M1043" t="s">
        <v>148</v>
      </c>
    </row>
    <row r="1044" spans="1:13" x14ac:dyDescent="0.25">
      <c r="A1044" s="8"/>
      <c r="E1044" s="9"/>
      <c r="F1044" s="9">
        <f t="shared" si="14"/>
        <v>0</v>
      </c>
      <c r="H1044" t="s">
        <v>145</v>
      </c>
      <c r="I1044" s="9">
        <f>+L1044*31</f>
        <v>3144285.7142857146</v>
      </c>
      <c r="K1044" t="s">
        <v>143</v>
      </c>
      <c r="L1044" s="9">
        <f>500000/7+30000</f>
        <v>101428.57142857143</v>
      </c>
      <c r="M1044" t="s">
        <v>149</v>
      </c>
    </row>
    <row r="1045" spans="1:13" x14ac:dyDescent="0.25">
      <c r="A1045" s="8"/>
      <c r="E1045" s="9"/>
      <c r="F1045" s="9">
        <f t="shared" si="14"/>
        <v>0</v>
      </c>
      <c r="H1045" t="s">
        <v>150</v>
      </c>
      <c r="I1045" s="9">
        <v>15000</v>
      </c>
      <c r="J1045" s="27"/>
      <c r="K1045" t="s">
        <v>198</v>
      </c>
      <c r="L1045" s="39">
        <v>8.5</v>
      </c>
    </row>
    <row r="1046" spans="1:13" x14ac:dyDescent="0.25">
      <c r="A1046" s="8"/>
      <c r="E1046" s="9"/>
      <c r="F1046" s="9">
        <f t="shared" si="14"/>
        <v>0</v>
      </c>
      <c r="H1046" t="s">
        <v>151</v>
      </c>
      <c r="I1046" s="9">
        <v>150000</v>
      </c>
      <c r="K1046" t="s">
        <v>199</v>
      </c>
      <c r="L1046" s="39">
        <v>4.5</v>
      </c>
    </row>
    <row r="1047" spans="1:13" x14ac:dyDescent="0.25">
      <c r="A1047" s="8"/>
      <c r="E1047" s="9"/>
      <c r="F1047" s="9">
        <f t="shared" si="14"/>
        <v>0</v>
      </c>
      <c r="H1047" t="s">
        <v>152</v>
      </c>
      <c r="I1047" s="9">
        <f>+SUM(I1041:I1046)</f>
        <v>29940285.714285716</v>
      </c>
    </row>
    <row r="1048" spans="1:13" x14ac:dyDescent="0.25">
      <c r="A1048" s="8"/>
      <c r="E1048" s="9"/>
      <c r="F1048" s="9">
        <f t="shared" si="14"/>
        <v>0</v>
      </c>
    </row>
    <row r="1049" spans="1:13" x14ac:dyDescent="0.25">
      <c r="A1049" s="8"/>
      <c r="E1049" s="9"/>
      <c r="F1049" s="9">
        <f t="shared" si="14"/>
        <v>0</v>
      </c>
      <c r="H1049" t="s">
        <v>153</v>
      </c>
      <c r="I1049" s="9">
        <f>+SUM(F1038:F1250)</f>
        <v>0</v>
      </c>
    </row>
    <row r="1050" spans="1:13" ht="15.75" thickBot="1" x14ac:dyDescent="0.3">
      <c r="A1050" s="8"/>
      <c r="E1050" s="9"/>
      <c r="F1050" s="9">
        <f t="shared" si="14"/>
        <v>0</v>
      </c>
    </row>
    <row r="1051" spans="1:13" ht="15.75" thickBot="1" x14ac:dyDescent="0.3">
      <c r="A1051" s="8"/>
      <c r="E1051" s="9"/>
      <c r="H1051" s="34" t="s">
        <v>154</v>
      </c>
      <c r="I1051" s="35">
        <f>+I1049-I1047</f>
        <v>-29940285.714285716</v>
      </c>
    </row>
    <row r="1052" spans="1:13" x14ac:dyDescent="0.25">
      <c r="A1052" s="8"/>
      <c r="E1052" s="9"/>
    </row>
    <row r="1053" spans="1:13" x14ac:dyDescent="0.25">
      <c r="A1053" s="8"/>
      <c r="E1053" s="9"/>
    </row>
    <row r="1054" spans="1:13" x14ac:dyDescent="0.25">
      <c r="A1054" s="8"/>
      <c r="E1054" s="9"/>
    </row>
    <row r="1055" spans="1:13" x14ac:dyDescent="0.25">
      <c r="A1055" s="8"/>
      <c r="E1055" s="9"/>
    </row>
    <row r="1056" spans="1:13" x14ac:dyDescent="0.25">
      <c r="A1056" s="8"/>
      <c r="E1056" s="9"/>
    </row>
    <row r="1057" spans="1:5" x14ac:dyDescent="0.25">
      <c r="A1057" s="8"/>
      <c r="E1057" s="9"/>
    </row>
    <row r="1058" spans="1:5" x14ac:dyDescent="0.25">
      <c r="A1058" s="8"/>
      <c r="E1058" s="9"/>
    </row>
    <row r="1059" spans="1:5" x14ac:dyDescent="0.25">
      <c r="A1059" s="8"/>
      <c r="E1059" s="9"/>
    </row>
    <row r="1060" spans="1:5" x14ac:dyDescent="0.25">
      <c r="A1060" s="8"/>
      <c r="E1060" s="9"/>
    </row>
    <row r="1061" spans="1:5" x14ac:dyDescent="0.25">
      <c r="A1061" s="8"/>
      <c r="E1061" s="9"/>
    </row>
    <row r="1062" spans="1:5" x14ac:dyDescent="0.25">
      <c r="A1062" s="8"/>
      <c r="E1062" s="9"/>
    </row>
    <row r="1063" spans="1:5" x14ac:dyDescent="0.25">
      <c r="A1063" s="8"/>
      <c r="E1063" s="9"/>
    </row>
    <row r="1064" spans="1:5" x14ac:dyDescent="0.25">
      <c r="A1064" s="8"/>
      <c r="E1064" s="9"/>
    </row>
    <row r="1065" spans="1:5" x14ac:dyDescent="0.25">
      <c r="A1065" s="8"/>
      <c r="E1065" s="9"/>
    </row>
    <row r="1066" spans="1:5" x14ac:dyDescent="0.25">
      <c r="A1066" s="8"/>
      <c r="E1066" s="9"/>
    </row>
    <row r="1067" spans="1:5" x14ac:dyDescent="0.25">
      <c r="A1067" s="8"/>
      <c r="E1067" s="9"/>
    </row>
    <row r="1068" spans="1:5" x14ac:dyDescent="0.25">
      <c r="A1068" s="8"/>
      <c r="E1068" s="9"/>
    </row>
    <row r="1069" spans="1:5" x14ac:dyDescent="0.25">
      <c r="A1069" s="8"/>
      <c r="E1069" s="9"/>
    </row>
    <row r="1070" spans="1:5" x14ac:dyDescent="0.25">
      <c r="E1070" s="9"/>
    </row>
    <row r="1071" spans="1:5" x14ac:dyDescent="0.25">
      <c r="E1071" s="9"/>
    </row>
    <row r="1072" spans="1:5" x14ac:dyDescent="0.25">
      <c r="E1072" s="9"/>
    </row>
    <row r="1073" spans="5:5" x14ac:dyDescent="0.25">
      <c r="E1073" s="9"/>
    </row>
    <row r="1074" spans="5:5" x14ac:dyDescent="0.25">
      <c r="E1074" s="9"/>
    </row>
    <row r="1075" spans="5:5" x14ac:dyDescent="0.25">
      <c r="E1075" s="9"/>
    </row>
    <row r="1076" spans="5:5" x14ac:dyDescent="0.25">
      <c r="E1076" s="9"/>
    </row>
    <row r="1077" spans="5:5" x14ac:dyDescent="0.25">
      <c r="E1077" s="9"/>
    </row>
    <row r="1078" spans="5:5" x14ac:dyDescent="0.25">
      <c r="E1078" s="9"/>
    </row>
    <row r="1079" spans="5:5" x14ac:dyDescent="0.25">
      <c r="E1079" s="9"/>
    </row>
    <row r="1080" spans="5:5" x14ac:dyDescent="0.25">
      <c r="E1080" s="9"/>
    </row>
    <row r="1081" spans="5:5" x14ac:dyDescent="0.25">
      <c r="E1081" s="9"/>
    </row>
    <row r="1082" spans="5:5" x14ac:dyDescent="0.25">
      <c r="E1082" s="9"/>
    </row>
    <row r="1083" spans="5:5" x14ac:dyDescent="0.25">
      <c r="E1083" s="9"/>
    </row>
    <row r="1084" spans="5:5" x14ac:dyDescent="0.25">
      <c r="E1084" s="9"/>
    </row>
    <row r="1085" spans="5:5" x14ac:dyDescent="0.25">
      <c r="E1085" s="9"/>
    </row>
    <row r="1086" spans="5:5" x14ac:dyDescent="0.25">
      <c r="E1086" s="9"/>
    </row>
    <row r="1087" spans="5:5" x14ac:dyDescent="0.25">
      <c r="E1087" s="9"/>
    </row>
    <row r="1088" spans="5:5" x14ac:dyDescent="0.25">
      <c r="E1088" s="9"/>
    </row>
    <row r="1089" spans="5:5" x14ac:dyDescent="0.25">
      <c r="E1089" s="9"/>
    </row>
    <row r="1090" spans="5:5" x14ac:dyDescent="0.25">
      <c r="E1090" s="9"/>
    </row>
  </sheetData>
  <mergeCells count="14">
    <mergeCell ref="H471:I471"/>
    <mergeCell ref="K471:L471"/>
    <mergeCell ref="H4:I4"/>
    <mergeCell ref="K4:L4"/>
    <mergeCell ref="H111:I111"/>
    <mergeCell ref="K111:L111"/>
    <mergeCell ref="H258:I258"/>
    <mergeCell ref="K258:L258"/>
    <mergeCell ref="H688:I688"/>
    <mergeCell ref="K688:L688"/>
    <mergeCell ref="H874:I874"/>
    <mergeCell ref="K874:L874"/>
    <mergeCell ref="H1040:I1040"/>
    <mergeCell ref="K1040:L1040"/>
  </mergeCells>
  <conditionalFormatting sqref="D2:D157 D159:D504 D506:D687 D689:D1037">
    <cfRule type="containsText" dxfId="11" priority="7" operator="containsText" text="C">
      <formula>NOT(ISERROR(SEARCH("C",D2)))</formula>
    </cfRule>
    <cfRule type="containsText" dxfId="10" priority="8" operator="containsText" text="C">
      <formula>NOT(ISERROR(SEARCH("C",D2)))</formula>
    </cfRule>
    <cfRule type="containsText" dxfId="9" priority="9" operator="containsText" text="S">
      <formula>NOT(ISERROR(SEARCH("S",D2)))</formula>
    </cfRule>
    <cfRule type="containsText" dxfId="8" priority="10" operator="containsText" text="C">
      <formula>NOT(ISERROR(SEARCH("C",D2)))</formula>
    </cfRule>
    <cfRule type="containsText" dxfId="7" priority="11" operator="containsText" text="B">
      <formula>NOT(ISERROR(SEARCH("B",D2)))</formula>
    </cfRule>
    <cfRule type="containsText" dxfId="6" priority="12" operator="containsText" text="A">
      <formula>NOT(ISERROR(SEARCH("A",D2)))</formula>
    </cfRule>
  </conditionalFormatting>
  <conditionalFormatting sqref="I2 I5:I109 I112:I122">
    <cfRule type="containsText" dxfId="5" priority="6" operator="containsText" text="24">
      <formula>NOT(ISERROR(SEARCH("24",I2)))</formula>
    </cfRule>
  </conditionalFormatting>
  <conditionalFormatting sqref="I256 I259:I269">
    <cfRule type="containsText" dxfId="4" priority="5" operator="containsText" text="24">
      <formula>NOT(ISERROR(SEARCH("24",I256)))</formula>
    </cfRule>
  </conditionalFormatting>
  <conditionalFormatting sqref="I469 I472:I482">
    <cfRule type="containsText" dxfId="3" priority="4" operator="containsText" text="24">
      <formula>NOT(ISERROR(SEARCH("24",I469)))</formula>
    </cfRule>
  </conditionalFormatting>
  <conditionalFormatting sqref="I686 I689:I699">
    <cfRule type="containsText" dxfId="2" priority="3" operator="containsText" text="24">
      <formula>NOT(ISERROR(SEARCH("24",I686)))</formula>
    </cfRule>
  </conditionalFormatting>
  <conditionalFormatting sqref="I872 I875:I885">
    <cfRule type="containsText" dxfId="1" priority="2" operator="containsText" text="24">
      <formula>NOT(ISERROR(SEARCH("24",I872)))</formula>
    </cfRule>
  </conditionalFormatting>
  <conditionalFormatting sqref="I1038 I1041:I1051">
    <cfRule type="containsText" dxfId="0" priority="1" operator="containsText" text="24">
      <formula>NOT(ISERROR(SEARCH("24",I1038)))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8EA6-1E05-42E3-8017-5D1725A9ADE3}">
  <dimension ref="A1:F183"/>
  <sheetViews>
    <sheetView tabSelected="1" workbookViewId="0">
      <selection activeCell="E14" sqref="E14"/>
    </sheetView>
  </sheetViews>
  <sheetFormatPr baseColWidth="10" defaultRowHeight="15" x14ac:dyDescent="0.25"/>
  <cols>
    <col min="1" max="1" width="11.5703125" style="8" bestFit="1" customWidth="1"/>
    <col min="2" max="2" width="22.7109375" bestFit="1" customWidth="1"/>
    <col min="4" max="4" width="14.140625" style="9" bestFit="1" customWidth="1"/>
    <col min="5" max="5" width="17.42578125" bestFit="1" customWidth="1"/>
    <col min="6" max="6" width="16.85546875" bestFit="1" customWidth="1"/>
  </cols>
  <sheetData>
    <row r="1" spans="1:6" x14ac:dyDescent="0.25">
      <c r="A1" s="1" t="s">
        <v>0</v>
      </c>
      <c r="B1" s="3" t="s">
        <v>3</v>
      </c>
      <c r="C1" s="3" t="s">
        <v>4</v>
      </c>
      <c r="D1" s="2" t="s">
        <v>5</v>
      </c>
      <c r="E1" s="3" t="s">
        <v>6</v>
      </c>
      <c r="F1" s="4" t="s">
        <v>7</v>
      </c>
    </row>
    <row r="2" spans="1:6" x14ac:dyDescent="0.25">
      <c r="A2" s="5"/>
      <c r="B2" s="7"/>
      <c r="C2" s="7"/>
      <c r="D2" s="6"/>
      <c r="E2" s="7"/>
      <c r="F2" s="7"/>
    </row>
    <row r="3" spans="1:6" x14ac:dyDescent="0.25">
      <c r="A3" s="8">
        <v>44805</v>
      </c>
      <c r="B3" t="s">
        <v>8</v>
      </c>
      <c r="C3">
        <v>1</v>
      </c>
      <c r="D3" s="9">
        <v>2600000</v>
      </c>
    </row>
    <row r="4" spans="1:6" x14ac:dyDescent="0.25">
      <c r="A4" s="8">
        <v>44816</v>
      </c>
      <c r="B4" t="s">
        <v>9</v>
      </c>
      <c r="C4">
        <v>1</v>
      </c>
      <c r="D4" s="9">
        <v>160000</v>
      </c>
      <c r="E4" t="s">
        <v>10</v>
      </c>
    </row>
    <row r="5" spans="1:6" x14ac:dyDescent="0.25">
      <c r="A5" s="8">
        <v>44816</v>
      </c>
      <c r="B5" t="s">
        <v>11</v>
      </c>
      <c r="C5">
        <v>1</v>
      </c>
      <c r="D5" s="9">
        <v>348000</v>
      </c>
      <c r="E5" t="s">
        <v>12</v>
      </c>
    </row>
    <row r="6" spans="1:6" x14ac:dyDescent="0.25">
      <c r="A6" s="8">
        <v>44816</v>
      </c>
      <c r="B6" t="s">
        <v>13</v>
      </c>
      <c r="C6">
        <v>1</v>
      </c>
      <c r="D6" s="9">
        <v>157000</v>
      </c>
      <c r="E6" t="s">
        <v>12</v>
      </c>
    </row>
    <row r="7" spans="1:6" x14ac:dyDescent="0.25">
      <c r="A7" s="8">
        <v>44816</v>
      </c>
      <c r="B7" t="s">
        <v>14</v>
      </c>
    </row>
    <row r="8" spans="1:6" x14ac:dyDescent="0.25">
      <c r="A8" s="8">
        <v>44817</v>
      </c>
      <c r="B8" t="s">
        <v>15</v>
      </c>
    </row>
    <row r="9" spans="1:6" x14ac:dyDescent="0.25">
      <c r="A9" s="8">
        <v>44788</v>
      </c>
      <c r="B9" t="s">
        <v>16</v>
      </c>
      <c r="C9">
        <v>2</v>
      </c>
      <c r="D9" s="9">
        <v>35000</v>
      </c>
      <c r="E9" t="s">
        <v>12</v>
      </c>
    </row>
    <row r="10" spans="1:6" x14ac:dyDescent="0.25">
      <c r="A10" s="8">
        <v>44820</v>
      </c>
      <c r="B10" t="s">
        <v>17</v>
      </c>
      <c r="C10">
        <v>2000</v>
      </c>
      <c r="D10" s="9">
        <f>+[1]Egresos!E10/C10</f>
        <v>0</v>
      </c>
    </row>
    <row r="11" spans="1:6" x14ac:dyDescent="0.25">
      <c r="A11" s="8">
        <v>44820</v>
      </c>
      <c r="B11" t="s">
        <v>18</v>
      </c>
      <c r="C11">
        <v>10</v>
      </c>
      <c r="D11" s="9" t="e">
        <f>+[1]Egresos!E11/C11</f>
        <v>#VALUE!</v>
      </c>
      <c r="E11" t="s">
        <v>10</v>
      </c>
    </row>
    <row r="12" spans="1:6" x14ac:dyDescent="0.25">
      <c r="A12" s="8">
        <v>44820</v>
      </c>
      <c r="B12" t="s">
        <v>19</v>
      </c>
      <c r="C12">
        <v>1</v>
      </c>
      <c r="E12" t="s">
        <v>10</v>
      </c>
    </row>
    <row r="13" spans="1:6" x14ac:dyDescent="0.25">
      <c r="A13" s="8">
        <v>44820</v>
      </c>
      <c r="B13" t="s">
        <v>20</v>
      </c>
      <c r="C13">
        <v>1</v>
      </c>
      <c r="D13" s="9">
        <v>245000</v>
      </c>
      <c r="E13" t="s">
        <v>10</v>
      </c>
    </row>
    <row r="14" spans="1:6" x14ac:dyDescent="0.25">
      <c r="A14" s="8">
        <v>44820</v>
      </c>
      <c r="B14" t="s">
        <v>21</v>
      </c>
    </row>
    <row r="15" spans="1:6" x14ac:dyDescent="0.25">
      <c r="A15" s="8">
        <v>44820</v>
      </c>
      <c r="B15" t="s">
        <v>22</v>
      </c>
      <c r="C15">
        <v>2</v>
      </c>
      <c r="D15" s="9">
        <f>+[1]Egresos!E15/C15</f>
        <v>0</v>
      </c>
    </row>
    <row r="16" spans="1:6" x14ac:dyDescent="0.25">
      <c r="A16" s="8">
        <v>44820</v>
      </c>
      <c r="B16" t="s">
        <v>22</v>
      </c>
      <c r="C16">
        <v>2</v>
      </c>
      <c r="D16" s="9">
        <f>+[1]Egresos!E16/C16</f>
        <v>0</v>
      </c>
    </row>
    <row r="17" spans="1:5" x14ac:dyDescent="0.25">
      <c r="A17" s="8">
        <v>44826</v>
      </c>
      <c r="B17" t="s">
        <v>23</v>
      </c>
    </row>
    <row r="18" spans="1:5" x14ac:dyDescent="0.25">
      <c r="A18" s="8">
        <v>44826</v>
      </c>
      <c r="B18" t="s">
        <v>18</v>
      </c>
      <c r="C18">
        <v>15</v>
      </c>
      <c r="D18" s="9">
        <f>+[1]Egresos!E18/C18</f>
        <v>0</v>
      </c>
    </row>
    <row r="19" spans="1:5" x14ac:dyDescent="0.25">
      <c r="A19" s="8">
        <v>44827</v>
      </c>
      <c r="B19" t="s">
        <v>24</v>
      </c>
      <c r="C19">
        <v>2</v>
      </c>
      <c r="D19" s="9">
        <v>30000</v>
      </c>
    </row>
    <row r="20" spans="1:5" x14ac:dyDescent="0.25">
      <c r="A20" s="8">
        <v>44834</v>
      </c>
      <c r="B20" t="s">
        <v>18</v>
      </c>
      <c r="C20">
        <v>20</v>
      </c>
      <c r="D20" s="9">
        <f>+[1]Egresos!E20/C20</f>
        <v>0</v>
      </c>
    </row>
    <row r="21" spans="1:5" x14ac:dyDescent="0.25">
      <c r="A21" s="8">
        <v>44834</v>
      </c>
      <c r="B21" t="s">
        <v>23</v>
      </c>
    </row>
    <row r="22" spans="1:5" x14ac:dyDescent="0.25">
      <c r="A22" s="12">
        <v>44834</v>
      </c>
      <c r="B22" s="15" t="s">
        <v>25</v>
      </c>
      <c r="C22" s="15">
        <v>2</v>
      </c>
      <c r="D22" s="13">
        <v>60000</v>
      </c>
      <c r="E22" s="15"/>
    </row>
    <row r="23" spans="1:5" x14ac:dyDescent="0.25">
      <c r="A23" s="8">
        <v>44840</v>
      </c>
      <c r="B23" t="s">
        <v>26</v>
      </c>
      <c r="C23">
        <v>6</v>
      </c>
      <c r="D23" s="9">
        <f>+[1]Egresos!E23/C23</f>
        <v>0</v>
      </c>
    </row>
    <row r="24" spans="1:5" x14ac:dyDescent="0.25">
      <c r="A24" s="8">
        <v>44841</v>
      </c>
      <c r="B24" t="s">
        <v>23</v>
      </c>
    </row>
    <row r="25" spans="1:5" x14ac:dyDescent="0.25">
      <c r="A25" s="8">
        <v>44841</v>
      </c>
      <c r="B25" t="s">
        <v>18</v>
      </c>
      <c r="C25">
        <v>18</v>
      </c>
      <c r="D25" s="9">
        <f>+[1]Egresos!E25/C25</f>
        <v>0</v>
      </c>
    </row>
    <row r="26" spans="1:5" x14ac:dyDescent="0.25">
      <c r="A26" s="8">
        <v>44845</v>
      </c>
      <c r="B26" t="s">
        <v>24</v>
      </c>
      <c r="C26">
        <v>2</v>
      </c>
      <c r="D26" s="9">
        <v>30000</v>
      </c>
    </row>
    <row r="27" spans="1:5" x14ac:dyDescent="0.25">
      <c r="A27" s="8">
        <v>44848</v>
      </c>
      <c r="B27" t="s">
        <v>23</v>
      </c>
    </row>
    <row r="28" spans="1:5" x14ac:dyDescent="0.25">
      <c r="A28" s="8">
        <v>44848</v>
      </c>
      <c r="B28" t="s">
        <v>18</v>
      </c>
      <c r="C28">
        <v>20</v>
      </c>
      <c r="D28" s="9">
        <f>+[1]Egresos!E28/C28</f>
        <v>0</v>
      </c>
    </row>
    <row r="29" spans="1:5" x14ac:dyDescent="0.25">
      <c r="A29" s="8">
        <v>44849</v>
      </c>
      <c r="B29" t="s">
        <v>23</v>
      </c>
    </row>
    <row r="30" spans="1:5" x14ac:dyDescent="0.25">
      <c r="A30" s="8">
        <v>44852</v>
      </c>
      <c r="B30" t="s">
        <v>26</v>
      </c>
      <c r="C30">
        <v>8</v>
      </c>
      <c r="D30" s="9">
        <f>+[1]Egresos!E30/C30</f>
        <v>0</v>
      </c>
    </row>
    <row r="31" spans="1:5" x14ac:dyDescent="0.25">
      <c r="A31" s="8">
        <v>44855</v>
      </c>
      <c r="B31" t="s">
        <v>18</v>
      </c>
      <c r="C31">
        <v>20</v>
      </c>
      <c r="D31" s="9">
        <f>+[1]Egresos!E31/C31</f>
        <v>0</v>
      </c>
    </row>
    <row r="32" spans="1:5" x14ac:dyDescent="0.25">
      <c r="A32" s="8">
        <v>44860</v>
      </c>
      <c r="B32" t="s">
        <v>27</v>
      </c>
      <c r="C32">
        <v>2000</v>
      </c>
      <c r="D32" s="9">
        <f>+[1]Egresos!E32/C32</f>
        <v>0</v>
      </c>
    </row>
    <row r="33" spans="1:5" x14ac:dyDescent="0.25">
      <c r="A33" s="8">
        <v>44860</v>
      </c>
      <c r="B33" t="s">
        <v>28</v>
      </c>
      <c r="C33">
        <v>1</v>
      </c>
      <c r="D33" s="9">
        <v>60000</v>
      </c>
    </row>
    <row r="34" spans="1:5" x14ac:dyDescent="0.25">
      <c r="A34" s="12">
        <v>44862</v>
      </c>
      <c r="B34" s="15" t="s">
        <v>18</v>
      </c>
      <c r="C34" s="15">
        <v>25</v>
      </c>
      <c r="D34" s="13">
        <f>+[1]Egresos!E34/C34</f>
        <v>0</v>
      </c>
      <c r="E34" s="15"/>
    </row>
    <row r="35" spans="1:5" x14ac:dyDescent="0.25">
      <c r="A35" s="8">
        <v>44866</v>
      </c>
      <c r="B35" t="s">
        <v>29</v>
      </c>
      <c r="C35">
        <v>1</v>
      </c>
      <c r="D35" s="9">
        <f>+[1]Egresos!E35/C35</f>
        <v>0</v>
      </c>
    </row>
    <row r="36" spans="1:5" x14ac:dyDescent="0.25">
      <c r="A36" s="8">
        <v>44869</v>
      </c>
      <c r="B36" t="s">
        <v>18</v>
      </c>
      <c r="C36">
        <v>30</v>
      </c>
      <c r="D36" s="9">
        <f>+[1]Egresos!E36/C36</f>
        <v>0</v>
      </c>
    </row>
    <row r="37" spans="1:5" x14ac:dyDescent="0.25">
      <c r="A37" s="8">
        <v>44877</v>
      </c>
      <c r="B37" t="s">
        <v>30</v>
      </c>
      <c r="C37">
        <v>25</v>
      </c>
      <c r="D37" s="9">
        <f>+[1]Egresos!E37/C37</f>
        <v>0</v>
      </c>
    </row>
    <row r="38" spans="1:5" x14ac:dyDescent="0.25">
      <c r="A38" s="8">
        <v>44883</v>
      </c>
      <c r="B38" t="s">
        <v>30</v>
      </c>
      <c r="C38">
        <v>35</v>
      </c>
      <c r="D38" s="9">
        <f>+[1]Egresos!E38/C38</f>
        <v>0</v>
      </c>
    </row>
    <row r="39" spans="1:5" x14ac:dyDescent="0.25">
      <c r="A39" s="8">
        <v>44891</v>
      </c>
      <c r="B39" t="s">
        <v>30</v>
      </c>
      <c r="C39">
        <v>30</v>
      </c>
      <c r="D39" s="9">
        <f>+[1]Egresos!E39/C39</f>
        <v>0</v>
      </c>
    </row>
    <row r="40" spans="1:5" x14ac:dyDescent="0.25">
      <c r="A40" s="12">
        <v>44893</v>
      </c>
      <c r="B40" s="15" t="s">
        <v>31</v>
      </c>
      <c r="C40" s="15">
        <v>200</v>
      </c>
      <c r="D40" s="13" t="e">
        <f>+#REF!/C40</f>
        <v>#REF!</v>
      </c>
      <c r="E40" s="15" t="s">
        <v>32</v>
      </c>
    </row>
    <row r="41" spans="1:5" x14ac:dyDescent="0.25">
      <c r="A41" s="8">
        <v>44897</v>
      </c>
      <c r="B41" t="s">
        <v>30</v>
      </c>
      <c r="C41">
        <v>35</v>
      </c>
      <c r="D41" s="9">
        <f>+[1]Egresos!E41/C41</f>
        <v>0</v>
      </c>
    </row>
    <row r="42" spans="1:5" x14ac:dyDescent="0.25">
      <c r="A42" s="8">
        <v>44901</v>
      </c>
      <c r="B42" t="s">
        <v>31</v>
      </c>
      <c r="C42">
        <v>100</v>
      </c>
      <c r="D42" s="17" t="e">
        <f>+#REF!/C42</f>
        <v>#REF!</v>
      </c>
    </row>
    <row r="43" spans="1:5" x14ac:dyDescent="0.25">
      <c r="A43" s="8">
        <v>44904</v>
      </c>
      <c r="B43" t="s">
        <v>30</v>
      </c>
      <c r="C43">
        <v>42</v>
      </c>
      <c r="D43" s="17">
        <f>+[1]Egresos!E43/C43</f>
        <v>0</v>
      </c>
    </row>
    <row r="44" spans="1:5" x14ac:dyDescent="0.25">
      <c r="A44" s="8">
        <v>44912</v>
      </c>
      <c r="B44" t="s">
        <v>30</v>
      </c>
      <c r="C44">
        <v>42</v>
      </c>
      <c r="D44" s="9">
        <f>+[1]Egresos!E44/C44</f>
        <v>0</v>
      </c>
    </row>
    <row r="45" spans="1:5" x14ac:dyDescent="0.25">
      <c r="A45" s="8">
        <v>44916</v>
      </c>
      <c r="B45" t="s">
        <v>30</v>
      </c>
      <c r="C45">
        <v>42</v>
      </c>
      <c r="D45" s="9">
        <f>+[1]Egresos!E45/C45</f>
        <v>0</v>
      </c>
    </row>
    <row r="46" spans="1:5" x14ac:dyDescent="0.25">
      <c r="A46" s="12">
        <v>44924</v>
      </c>
      <c r="B46" s="15" t="s">
        <v>30</v>
      </c>
      <c r="C46" s="15">
        <v>42</v>
      </c>
      <c r="D46" s="13">
        <f>+[1]Egresos!E46/C46</f>
        <v>0</v>
      </c>
      <c r="E46" s="15"/>
    </row>
    <row r="47" spans="1:5" x14ac:dyDescent="0.25">
      <c r="A47" s="8">
        <v>44932</v>
      </c>
      <c r="B47" t="s">
        <v>30</v>
      </c>
      <c r="C47">
        <v>42</v>
      </c>
      <c r="D47" s="9">
        <f>+[1]Egresos!E47/C47</f>
        <v>0</v>
      </c>
    </row>
    <row r="48" spans="1:5" x14ac:dyDescent="0.25">
      <c r="A48" s="8">
        <v>44939</v>
      </c>
      <c r="B48" t="s">
        <v>30</v>
      </c>
      <c r="C48">
        <v>48</v>
      </c>
      <c r="D48" s="9">
        <f>+[1]Egresos!E48/C48</f>
        <v>0</v>
      </c>
    </row>
    <row r="49" spans="1:5" x14ac:dyDescent="0.25">
      <c r="A49" s="8">
        <v>44946</v>
      </c>
      <c r="B49" t="s">
        <v>30</v>
      </c>
      <c r="C49">
        <v>52</v>
      </c>
      <c r="D49" s="9">
        <f>+[1]Egresos!E49/C49</f>
        <v>0</v>
      </c>
    </row>
    <row r="50" spans="1:5" x14ac:dyDescent="0.25">
      <c r="A50" s="8">
        <v>44950</v>
      </c>
      <c r="B50" t="s">
        <v>33</v>
      </c>
      <c r="C50">
        <v>1</v>
      </c>
      <c r="D50" s="9">
        <f>+[1]Egresos!E50/C50</f>
        <v>0</v>
      </c>
    </row>
    <row r="51" spans="1:5" x14ac:dyDescent="0.25">
      <c r="A51" s="8">
        <v>44953</v>
      </c>
      <c r="B51" t="s">
        <v>31</v>
      </c>
      <c r="C51">
        <v>280</v>
      </c>
      <c r="D51" s="9" t="e">
        <f>+#REF!/C51</f>
        <v>#REF!</v>
      </c>
    </row>
    <row r="52" spans="1:5" x14ac:dyDescent="0.25">
      <c r="A52" s="8">
        <v>44954</v>
      </c>
      <c r="B52" t="s">
        <v>34</v>
      </c>
      <c r="C52">
        <v>50</v>
      </c>
      <c r="D52" s="9">
        <f>+[1]Egresos!E52/C52</f>
        <v>0</v>
      </c>
    </row>
    <row r="53" spans="1:5" x14ac:dyDescent="0.25">
      <c r="A53" s="8">
        <v>44956</v>
      </c>
      <c r="B53" t="s">
        <v>35</v>
      </c>
      <c r="C53">
        <v>10</v>
      </c>
      <c r="D53" s="9" t="e">
        <f>+#REF!/C53</f>
        <v>#REF!</v>
      </c>
    </row>
    <row r="54" spans="1:5" x14ac:dyDescent="0.25">
      <c r="A54" s="12">
        <v>44957</v>
      </c>
      <c r="B54" s="15" t="s">
        <v>35</v>
      </c>
      <c r="C54" s="15">
        <v>1</v>
      </c>
      <c r="D54" s="13" t="e">
        <f>+#REF!/C54</f>
        <v>#REF!</v>
      </c>
      <c r="E54" s="15"/>
    </row>
    <row r="55" spans="1:5" x14ac:dyDescent="0.25">
      <c r="A55" s="8">
        <v>44958</v>
      </c>
      <c r="B55" t="s">
        <v>35</v>
      </c>
      <c r="C55">
        <v>11</v>
      </c>
      <c r="D55" s="17" t="e">
        <f>+#REF!/C55</f>
        <v>#REF!</v>
      </c>
    </row>
    <row r="56" spans="1:5" x14ac:dyDescent="0.25">
      <c r="A56" s="8">
        <v>44959</v>
      </c>
      <c r="B56" t="s">
        <v>36</v>
      </c>
      <c r="C56">
        <v>15</v>
      </c>
      <c r="D56" s="17" t="e">
        <f>+#REF!/C56</f>
        <v>#REF!</v>
      </c>
    </row>
    <row r="57" spans="1:5" x14ac:dyDescent="0.25">
      <c r="A57" s="8">
        <v>44960</v>
      </c>
      <c r="B57" t="s">
        <v>34</v>
      </c>
      <c r="C57">
        <v>52</v>
      </c>
      <c r="D57" s="17">
        <f>+[1]Egresos!E57/C57</f>
        <v>0</v>
      </c>
    </row>
    <row r="58" spans="1:5" x14ac:dyDescent="0.25">
      <c r="A58" s="8">
        <v>44962</v>
      </c>
      <c r="B58" t="s">
        <v>37</v>
      </c>
      <c r="C58">
        <v>10</v>
      </c>
      <c r="D58" s="17" t="e">
        <f>+#REF!/C58</f>
        <v>#REF!</v>
      </c>
      <c r="E58" t="s">
        <v>38</v>
      </c>
    </row>
    <row r="59" spans="1:5" x14ac:dyDescent="0.25">
      <c r="A59" s="8">
        <v>44963</v>
      </c>
      <c r="B59" t="s">
        <v>35</v>
      </c>
      <c r="C59">
        <v>35</v>
      </c>
      <c r="D59" s="17" t="e">
        <f>+#REF!/C59</f>
        <v>#REF!</v>
      </c>
      <c r="E59" t="s">
        <v>39</v>
      </c>
    </row>
    <row r="60" spans="1:5" x14ac:dyDescent="0.25">
      <c r="A60" s="8">
        <v>44963</v>
      </c>
      <c r="B60" s="23" t="s">
        <v>40</v>
      </c>
      <c r="C60" s="23">
        <v>124</v>
      </c>
      <c r="D60" s="24" t="e">
        <f>+#REF!/C60</f>
        <v>#REF!</v>
      </c>
      <c r="E60" s="23" t="s">
        <v>41</v>
      </c>
    </row>
    <row r="61" spans="1:5" x14ac:dyDescent="0.25">
      <c r="A61" s="8">
        <v>44963</v>
      </c>
      <c r="B61" t="s">
        <v>37</v>
      </c>
      <c r="C61">
        <v>15</v>
      </c>
      <c r="D61" s="17" t="e">
        <f>+#REF!/C61</f>
        <v>#REF!</v>
      </c>
      <c r="E61" t="s">
        <v>42</v>
      </c>
    </row>
    <row r="62" spans="1:5" x14ac:dyDescent="0.25">
      <c r="A62" s="8">
        <v>44963</v>
      </c>
      <c r="B62" t="s">
        <v>40</v>
      </c>
      <c r="C62">
        <v>5</v>
      </c>
      <c r="D62" s="17" t="e">
        <f>+#REF!/C62</f>
        <v>#REF!</v>
      </c>
      <c r="E62" t="s">
        <v>42</v>
      </c>
    </row>
    <row r="63" spans="1:5" x14ac:dyDescent="0.25">
      <c r="A63" s="8">
        <v>44963</v>
      </c>
      <c r="B63" t="s">
        <v>40</v>
      </c>
      <c r="C63">
        <v>5</v>
      </c>
      <c r="D63" s="9" t="e">
        <f>+#REF!/C63</f>
        <v>#REF!</v>
      </c>
      <c r="E63" t="s">
        <v>43</v>
      </c>
    </row>
    <row r="64" spans="1:5" x14ac:dyDescent="0.25">
      <c r="A64" s="8">
        <v>44964</v>
      </c>
      <c r="B64" t="s">
        <v>40</v>
      </c>
      <c r="C64">
        <v>11.5</v>
      </c>
      <c r="D64" s="9" t="e">
        <f>+#REF!/C64</f>
        <v>#REF!</v>
      </c>
      <c r="E64" t="s">
        <v>43</v>
      </c>
    </row>
    <row r="65" spans="1:5" x14ac:dyDescent="0.25">
      <c r="A65" s="8">
        <v>44964</v>
      </c>
      <c r="B65" t="s">
        <v>35</v>
      </c>
      <c r="C65">
        <v>5</v>
      </c>
      <c r="D65" s="9" t="e">
        <f>+#REF!/C65</f>
        <v>#REF!</v>
      </c>
      <c r="E65" t="s">
        <v>43</v>
      </c>
    </row>
    <row r="66" spans="1:5" x14ac:dyDescent="0.25">
      <c r="A66" s="8">
        <v>44964</v>
      </c>
      <c r="B66" t="s">
        <v>40</v>
      </c>
      <c r="C66">
        <v>20</v>
      </c>
      <c r="D66" s="9" t="e">
        <f>+#REF!/C66</f>
        <v>#REF!</v>
      </c>
      <c r="E66" t="s">
        <v>38</v>
      </c>
    </row>
    <row r="67" spans="1:5" x14ac:dyDescent="0.25">
      <c r="A67" s="8">
        <v>44964</v>
      </c>
      <c r="B67" t="s">
        <v>37</v>
      </c>
      <c r="C67">
        <v>3</v>
      </c>
      <c r="D67" s="9" t="e">
        <f>+#REF!/C67</f>
        <v>#REF!</v>
      </c>
      <c r="E67" t="s">
        <v>44</v>
      </c>
    </row>
    <row r="68" spans="1:5" x14ac:dyDescent="0.25">
      <c r="A68" s="8">
        <v>44964</v>
      </c>
      <c r="B68" t="s">
        <v>37</v>
      </c>
      <c r="C68">
        <v>3</v>
      </c>
      <c r="D68" s="9" t="e">
        <f>+#REF!/C68</f>
        <v>#REF!</v>
      </c>
      <c r="E68" t="s">
        <v>38</v>
      </c>
    </row>
    <row r="69" spans="1:5" x14ac:dyDescent="0.25">
      <c r="A69" s="8">
        <v>44965</v>
      </c>
      <c r="B69" t="s">
        <v>37</v>
      </c>
      <c r="C69">
        <v>5</v>
      </c>
      <c r="D69" s="9" t="e">
        <f>+#REF!/C69</f>
        <v>#REF!</v>
      </c>
      <c r="E69" t="s">
        <v>38</v>
      </c>
    </row>
    <row r="70" spans="1:5" x14ac:dyDescent="0.25">
      <c r="A70" s="8">
        <v>44967</v>
      </c>
      <c r="B70" t="s">
        <v>37</v>
      </c>
      <c r="C70">
        <v>1</v>
      </c>
      <c r="D70" s="9" t="e">
        <f>+#REF!/C70</f>
        <v>#REF!</v>
      </c>
      <c r="E70" t="s">
        <v>45</v>
      </c>
    </row>
    <row r="71" spans="1:5" x14ac:dyDescent="0.25">
      <c r="A71" s="8">
        <v>44967</v>
      </c>
      <c r="B71" t="s">
        <v>37</v>
      </c>
      <c r="C71">
        <v>2</v>
      </c>
      <c r="D71" s="9" t="e">
        <f>+#REF!/C71</f>
        <v>#REF!</v>
      </c>
      <c r="E71" t="s">
        <v>46</v>
      </c>
    </row>
    <row r="72" spans="1:5" x14ac:dyDescent="0.25">
      <c r="A72" s="8">
        <v>44967</v>
      </c>
      <c r="B72" t="s">
        <v>37</v>
      </c>
      <c r="C72">
        <v>10</v>
      </c>
      <c r="D72" s="9" t="e">
        <f>+#REF!/C72</f>
        <v>#REF!</v>
      </c>
      <c r="E72" t="s">
        <v>47</v>
      </c>
    </row>
    <row r="73" spans="1:5" x14ac:dyDescent="0.25">
      <c r="A73" s="8">
        <v>44967</v>
      </c>
      <c r="B73" s="26" t="s">
        <v>34</v>
      </c>
      <c r="C73" s="26">
        <v>60</v>
      </c>
      <c r="D73" s="25" t="e">
        <f>+[1]Egresos!E73/C73</f>
        <v>#VALUE!</v>
      </c>
      <c r="E73" s="26" t="s">
        <v>10</v>
      </c>
    </row>
    <row r="74" spans="1:5" x14ac:dyDescent="0.25">
      <c r="A74" s="8">
        <v>44967</v>
      </c>
      <c r="B74" t="s">
        <v>48</v>
      </c>
      <c r="C74">
        <f>2*100</f>
        <v>200</v>
      </c>
      <c r="D74" s="9" t="e">
        <f>+[1]Egresos!E74/C74</f>
        <v>#VALUE!</v>
      </c>
      <c r="E74" t="s">
        <v>10</v>
      </c>
    </row>
    <row r="75" spans="1:5" x14ac:dyDescent="0.25">
      <c r="A75" s="8">
        <v>44967</v>
      </c>
      <c r="B75" t="s">
        <v>49</v>
      </c>
      <c r="C75">
        <v>2</v>
      </c>
      <c r="D75" s="9" t="e">
        <f>+#REF!/C75</f>
        <v>#REF!</v>
      </c>
      <c r="E75" t="s">
        <v>45</v>
      </c>
    </row>
    <row r="76" spans="1:5" x14ac:dyDescent="0.25">
      <c r="A76" s="8">
        <v>44967</v>
      </c>
      <c r="B76" t="s">
        <v>35</v>
      </c>
      <c r="C76">
        <v>25</v>
      </c>
      <c r="D76" s="9" t="e">
        <f>+#REF!/C76</f>
        <v>#REF!</v>
      </c>
      <c r="E76" t="s">
        <v>39</v>
      </c>
    </row>
    <row r="77" spans="1:5" x14ac:dyDescent="0.25">
      <c r="A77" s="8">
        <v>44969</v>
      </c>
      <c r="B77" t="s">
        <v>35</v>
      </c>
      <c r="C77">
        <v>3</v>
      </c>
      <c r="D77" s="9" t="e">
        <f>+#REF!/C77</f>
        <v>#REF!</v>
      </c>
      <c r="E77" t="s">
        <v>50</v>
      </c>
    </row>
    <row r="78" spans="1:5" x14ac:dyDescent="0.25">
      <c r="A78" s="8">
        <v>44970</v>
      </c>
      <c r="B78" t="s">
        <v>40</v>
      </c>
      <c r="C78">
        <v>162</v>
      </c>
      <c r="D78" s="9" t="e">
        <f>+#REF!/C78</f>
        <v>#REF!</v>
      </c>
      <c r="E78" t="s">
        <v>51</v>
      </c>
    </row>
    <row r="79" spans="1:5" x14ac:dyDescent="0.25">
      <c r="A79" s="8">
        <v>44970</v>
      </c>
      <c r="B79" t="s">
        <v>37</v>
      </c>
      <c r="C79">
        <v>5</v>
      </c>
      <c r="D79" s="9" t="e">
        <f>+#REF!/C79</f>
        <v>#REF!</v>
      </c>
      <c r="E79" t="s">
        <v>38</v>
      </c>
    </row>
    <row r="80" spans="1:5" x14ac:dyDescent="0.25">
      <c r="A80" s="8">
        <v>44970</v>
      </c>
      <c r="B80" t="s">
        <v>37</v>
      </c>
      <c r="C80">
        <v>50</v>
      </c>
      <c r="D80" s="9" t="e">
        <f>+#REF!/C80</f>
        <v>#REF!</v>
      </c>
      <c r="E80" t="s">
        <v>52</v>
      </c>
    </row>
    <row r="81" spans="1:6" x14ac:dyDescent="0.25">
      <c r="A81" s="8">
        <v>44970</v>
      </c>
      <c r="B81" t="s">
        <v>37</v>
      </c>
      <c r="C81">
        <v>22</v>
      </c>
      <c r="D81" s="9" t="e">
        <f>+#REF!/C81</f>
        <v>#REF!</v>
      </c>
      <c r="E81" t="s">
        <v>42</v>
      </c>
    </row>
    <row r="82" spans="1:6" x14ac:dyDescent="0.25">
      <c r="A82" s="8">
        <v>44971</v>
      </c>
      <c r="B82" t="s">
        <v>37</v>
      </c>
      <c r="C82">
        <v>22</v>
      </c>
      <c r="D82" s="9" t="e">
        <f>+#REF!/C82</f>
        <v>#REF!</v>
      </c>
      <c r="E82" t="s">
        <v>42</v>
      </c>
    </row>
    <row r="83" spans="1:6" x14ac:dyDescent="0.25">
      <c r="A83" s="8">
        <v>44971</v>
      </c>
      <c r="B83" t="s">
        <v>53</v>
      </c>
      <c r="C83">
        <v>5</v>
      </c>
      <c r="D83" s="9" t="e">
        <f>+#REF!/C83</f>
        <v>#REF!</v>
      </c>
      <c r="E83" t="s">
        <v>54</v>
      </c>
    </row>
    <row r="84" spans="1:6" x14ac:dyDescent="0.25">
      <c r="A84" s="8">
        <v>44972</v>
      </c>
      <c r="B84" t="s">
        <v>49</v>
      </c>
      <c r="C84">
        <v>1</v>
      </c>
      <c r="D84" s="9" t="e">
        <f>+#REF!/C84</f>
        <v>#REF!</v>
      </c>
      <c r="E84" t="s">
        <v>45</v>
      </c>
    </row>
    <row r="85" spans="1:6" x14ac:dyDescent="0.25">
      <c r="A85" s="8">
        <v>44972</v>
      </c>
      <c r="B85" t="s">
        <v>55</v>
      </c>
      <c r="C85">
        <v>200</v>
      </c>
      <c r="D85" s="9" t="e">
        <f>+[1]Egresos!E85/C85</f>
        <v>#VALUE!</v>
      </c>
      <c r="E85" t="s">
        <v>10</v>
      </c>
    </row>
    <row r="86" spans="1:6" x14ac:dyDescent="0.25">
      <c r="A86" s="8">
        <v>44972</v>
      </c>
      <c r="B86" t="s">
        <v>56</v>
      </c>
      <c r="C86">
        <v>210</v>
      </c>
      <c r="D86" s="9" t="e">
        <f>+[1]Egresos!E86/C86</f>
        <v>#VALUE!</v>
      </c>
      <c r="E86" t="s">
        <v>39</v>
      </c>
    </row>
    <row r="87" spans="1:6" x14ac:dyDescent="0.25">
      <c r="A87" s="8">
        <v>44972</v>
      </c>
      <c r="B87" t="s">
        <v>35</v>
      </c>
      <c r="C87">
        <v>45</v>
      </c>
      <c r="D87" s="9" t="e">
        <f>+#REF!/C87</f>
        <v>#REF!</v>
      </c>
      <c r="E87" t="s">
        <v>39</v>
      </c>
      <c r="F87" t="s">
        <v>57</v>
      </c>
    </row>
    <row r="88" spans="1:6" x14ac:dyDescent="0.25">
      <c r="A88" s="8">
        <v>44973</v>
      </c>
      <c r="B88" t="s">
        <v>35</v>
      </c>
      <c r="C88">
        <v>6</v>
      </c>
      <c r="D88" s="9" t="e">
        <f>+#REF!/C88</f>
        <v>#REF!</v>
      </c>
      <c r="E88" t="s">
        <v>58</v>
      </c>
    </row>
    <row r="89" spans="1:6" x14ac:dyDescent="0.25">
      <c r="A89" s="8">
        <v>44973</v>
      </c>
      <c r="B89" t="s">
        <v>40</v>
      </c>
      <c r="C89">
        <v>15</v>
      </c>
      <c r="D89" s="9" t="e">
        <f>+#REF!/C89</f>
        <v>#REF!</v>
      </c>
      <c r="E89" t="s">
        <v>58</v>
      </c>
    </row>
    <row r="90" spans="1:6" x14ac:dyDescent="0.25">
      <c r="A90" s="8">
        <v>44973</v>
      </c>
      <c r="B90" t="s">
        <v>37</v>
      </c>
      <c r="C90">
        <v>12</v>
      </c>
      <c r="D90" s="9" t="e">
        <f>+#REF!/C90</f>
        <v>#REF!</v>
      </c>
      <c r="E90" t="s">
        <v>42</v>
      </c>
    </row>
    <row r="91" spans="1:6" x14ac:dyDescent="0.25">
      <c r="A91" s="8">
        <v>44973</v>
      </c>
      <c r="B91" t="s">
        <v>40</v>
      </c>
      <c r="C91">
        <v>5</v>
      </c>
      <c r="D91" s="9" t="e">
        <f>+#REF!/C91</f>
        <v>#REF!</v>
      </c>
      <c r="E91" t="s">
        <v>42</v>
      </c>
    </row>
    <row r="92" spans="1:6" x14ac:dyDescent="0.25">
      <c r="A92" s="8">
        <v>44973</v>
      </c>
      <c r="B92" t="s">
        <v>37</v>
      </c>
      <c r="C92">
        <v>50</v>
      </c>
      <c r="D92" s="9" t="e">
        <f>+#REF!/C92</f>
        <v>#REF!</v>
      </c>
      <c r="E92" t="s">
        <v>52</v>
      </c>
    </row>
    <row r="93" spans="1:6" x14ac:dyDescent="0.25">
      <c r="A93" s="8">
        <v>44973</v>
      </c>
      <c r="B93" t="s">
        <v>59</v>
      </c>
      <c r="C93">
        <v>2</v>
      </c>
      <c r="D93" s="9" t="e">
        <f>+#REF!/C93</f>
        <v>#REF!</v>
      </c>
    </row>
    <row r="94" spans="1:6" x14ac:dyDescent="0.25">
      <c r="A94" s="8">
        <v>44973</v>
      </c>
      <c r="B94" t="s">
        <v>53</v>
      </c>
      <c r="C94">
        <v>4</v>
      </c>
      <c r="D94" s="9" t="e">
        <f>+#REF!/C94</f>
        <v>#REF!</v>
      </c>
    </row>
    <row r="95" spans="1:6" x14ac:dyDescent="0.25">
      <c r="A95" s="8">
        <v>44973</v>
      </c>
      <c r="B95" t="s">
        <v>37</v>
      </c>
      <c r="C95">
        <v>3</v>
      </c>
      <c r="D95" s="9" t="e">
        <f>+#REF!/C95</f>
        <v>#REF!</v>
      </c>
    </row>
    <row r="96" spans="1:6" x14ac:dyDescent="0.25">
      <c r="A96" s="8">
        <v>44974</v>
      </c>
      <c r="B96" t="s">
        <v>34</v>
      </c>
      <c r="C96">
        <v>64</v>
      </c>
      <c r="D96" s="9">
        <f>+[1]Egresos!E96/C96</f>
        <v>0</v>
      </c>
    </row>
    <row r="97" spans="1:6" x14ac:dyDescent="0.25">
      <c r="A97" s="8">
        <v>44974</v>
      </c>
      <c r="B97" t="s">
        <v>55</v>
      </c>
      <c r="C97">
        <f>4*100</f>
        <v>400</v>
      </c>
      <c r="D97" s="9">
        <f>+[1]Egresos!E97/C97</f>
        <v>0</v>
      </c>
    </row>
    <row r="98" spans="1:6" x14ac:dyDescent="0.25">
      <c r="A98" s="8">
        <v>44974</v>
      </c>
      <c r="B98" t="s">
        <v>37</v>
      </c>
      <c r="C98">
        <v>25</v>
      </c>
      <c r="D98" s="9" t="e">
        <f>+#REF!/C98</f>
        <v>#REF!</v>
      </c>
      <c r="E98" t="s">
        <v>42</v>
      </c>
    </row>
    <row r="99" spans="1:6" x14ac:dyDescent="0.25">
      <c r="A99" s="8">
        <v>44974</v>
      </c>
      <c r="B99" t="s">
        <v>35</v>
      </c>
      <c r="C99">
        <v>24</v>
      </c>
      <c r="D99" s="9" t="e">
        <f>+#REF!/C99</f>
        <v>#REF!</v>
      </c>
      <c r="E99" t="s">
        <v>60</v>
      </c>
    </row>
    <row r="100" spans="1:6" x14ac:dyDescent="0.25">
      <c r="A100" s="8">
        <v>44974</v>
      </c>
      <c r="B100" t="s">
        <v>37</v>
      </c>
      <c r="C100">
        <v>40</v>
      </c>
      <c r="D100" s="9" t="e">
        <f>+#REF!/C100</f>
        <v>#REF!</v>
      </c>
      <c r="E100" t="s">
        <v>60</v>
      </c>
    </row>
    <row r="101" spans="1:6" x14ac:dyDescent="0.25">
      <c r="A101" s="8">
        <v>44974</v>
      </c>
      <c r="B101" t="s">
        <v>53</v>
      </c>
      <c r="C101">
        <v>2</v>
      </c>
      <c r="D101" s="9" t="e">
        <f>+#REF!/C101</f>
        <v>#REF!</v>
      </c>
      <c r="E101" t="s">
        <v>61</v>
      </c>
    </row>
    <row r="102" spans="1:6" x14ac:dyDescent="0.25">
      <c r="A102" s="8">
        <v>44975</v>
      </c>
      <c r="B102" t="s">
        <v>53</v>
      </c>
      <c r="C102">
        <v>10</v>
      </c>
      <c r="D102" s="9" t="e">
        <f>+#REF!/C102</f>
        <v>#REF!</v>
      </c>
      <c r="E102" t="s">
        <v>47</v>
      </c>
    </row>
    <row r="103" spans="1:6" x14ac:dyDescent="0.25">
      <c r="A103" s="8">
        <v>44975</v>
      </c>
      <c r="B103" t="s">
        <v>62</v>
      </c>
      <c r="C103">
        <v>1</v>
      </c>
      <c r="D103" s="9">
        <f>+[1]Egresos!E103/C103</f>
        <v>0</v>
      </c>
    </row>
    <row r="104" spans="1:6" x14ac:dyDescent="0.25">
      <c r="A104" s="8">
        <v>44975</v>
      </c>
      <c r="B104" t="s">
        <v>63</v>
      </c>
      <c r="C104">
        <v>4</v>
      </c>
      <c r="D104" s="9">
        <f>+[1]Egresos!E104/C104</f>
        <v>0</v>
      </c>
    </row>
    <row r="105" spans="1:6" x14ac:dyDescent="0.25">
      <c r="A105" s="8">
        <v>44975</v>
      </c>
      <c r="B105" t="s">
        <v>37</v>
      </c>
      <c r="C105">
        <v>20</v>
      </c>
      <c r="D105" s="9" t="e">
        <f>+#REF!/C105</f>
        <v>#REF!</v>
      </c>
      <c r="E105" t="s">
        <v>42</v>
      </c>
    </row>
    <row r="106" spans="1:6" x14ac:dyDescent="0.25">
      <c r="A106" s="8">
        <v>44975</v>
      </c>
      <c r="B106" t="s">
        <v>37</v>
      </c>
      <c r="C106">
        <v>25</v>
      </c>
      <c r="D106" s="9" t="e">
        <f>+#REF!/C106</f>
        <v>#REF!</v>
      </c>
      <c r="E106" t="s">
        <v>60</v>
      </c>
    </row>
    <row r="107" spans="1:6" x14ac:dyDescent="0.25">
      <c r="A107" s="8">
        <v>44975</v>
      </c>
      <c r="B107" t="s">
        <v>35</v>
      </c>
      <c r="C107">
        <v>5</v>
      </c>
      <c r="D107" s="9" t="e">
        <f>+#REF!/C107</f>
        <v>#REF!</v>
      </c>
      <c r="E107" t="s">
        <v>60</v>
      </c>
    </row>
    <row r="108" spans="1:6" x14ac:dyDescent="0.25">
      <c r="A108" s="8">
        <v>44976</v>
      </c>
      <c r="B108" t="s">
        <v>35</v>
      </c>
      <c r="C108">
        <v>6</v>
      </c>
      <c r="D108" s="9" t="e">
        <f>+#REF!/C108</f>
        <v>#REF!</v>
      </c>
      <c r="E108" t="s">
        <v>38</v>
      </c>
    </row>
    <row r="109" spans="1:6" x14ac:dyDescent="0.25">
      <c r="A109" s="8">
        <v>44976</v>
      </c>
      <c r="B109" t="s">
        <v>35</v>
      </c>
      <c r="C109">
        <v>4</v>
      </c>
      <c r="D109" s="9" t="e">
        <f>+#REF!/C109</f>
        <v>#REF!</v>
      </c>
      <c r="E109" t="s">
        <v>64</v>
      </c>
    </row>
    <row r="110" spans="1:6" x14ac:dyDescent="0.25">
      <c r="A110" s="8">
        <v>44976</v>
      </c>
      <c r="B110" t="s">
        <v>53</v>
      </c>
      <c r="C110">
        <v>5</v>
      </c>
      <c r="D110" s="9" t="e">
        <f>+#REF!/C110</f>
        <v>#REF!</v>
      </c>
      <c r="E110" t="s">
        <v>65</v>
      </c>
    </row>
    <row r="111" spans="1:6" x14ac:dyDescent="0.25">
      <c r="A111" s="8">
        <v>44976</v>
      </c>
      <c r="B111" t="s">
        <v>40</v>
      </c>
      <c r="C111">
        <v>6</v>
      </c>
      <c r="D111" s="9" t="e">
        <f>+#REF!/C111</f>
        <v>#REF!</v>
      </c>
    </row>
    <row r="112" spans="1:6" x14ac:dyDescent="0.25">
      <c r="A112" s="8">
        <v>44976</v>
      </c>
      <c r="B112" t="s">
        <v>37</v>
      </c>
      <c r="C112">
        <v>20</v>
      </c>
      <c r="D112" s="9" t="e">
        <f>+#REF!/C112</f>
        <v>#REF!</v>
      </c>
      <c r="E112" t="s">
        <v>66</v>
      </c>
      <c r="F112" t="s">
        <v>67</v>
      </c>
    </row>
    <row r="113" spans="1:5" x14ac:dyDescent="0.25">
      <c r="A113" s="8">
        <v>44977</v>
      </c>
      <c r="B113" t="s">
        <v>37</v>
      </c>
      <c r="C113">
        <v>50</v>
      </c>
      <c r="D113" s="9" t="e">
        <f>+#REF!/C113</f>
        <v>#REF!</v>
      </c>
      <c r="E113" t="s">
        <v>52</v>
      </c>
    </row>
    <row r="114" spans="1:5" x14ac:dyDescent="0.25">
      <c r="A114" s="8">
        <v>44977</v>
      </c>
      <c r="B114" t="s">
        <v>53</v>
      </c>
      <c r="C114">
        <v>15</v>
      </c>
      <c r="D114" s="9" t="e">
        <f>+#REF!/C114</f>
        <v>#REF!</v>
      </c>
      <c r="E114" t="s">
        <v>68</v>
      </c>
    </row>
    <row r="115" spans="1:5" x14ac:dyDescent="0.25">
      <c r="A115" s="8">
        <v>44977</v>
      </c>
      <c r="B115" t="s">
        <v>37</v>
      </c>
      <c r="C115">
        <v>7</v>
      </c>
      <c r="D115" s="9" t="e">
        <f>+#REF!/C115</f>
        <v>#REF!</v>
      </c>
      <c r="E115" t="s">
        <v>68</v>
      </c>
    </row>
    <row r="116" spans="1:5" x14ac:dyDescent="0.25">
      <c r="A116" s="8">
        <v>44977</v>
      </c>
      <c r="B116" t="s">
        <v>35</v>
      </c>
      <c r="C116">
        <v>5</v>
      </c>
      <c r="D116" s="9" t="e">
        <f>+#REF!/C116</f>
        <v>#REF!</v>
      </c>
      <c r="E116" t="s">
        <v>68</v>
      </c>
    </row>
    <row r="141" spans="1:5" x14ac:dyDescent="0.25">
      <c r="A141" s="8">
        <v>45078</v>
      </c>
      <c r="B141" t="s">
        <v>69</v>
      </c>
      <c r="C141">
        <v>8</v>
      </c>
      <c r="D141" s="9" t="e">
        <f>+#REF!/C141</f>
        <v>#REF!</v>
      </c>
      <c r="E141" t="s">
        <v>52</v>
      </c>
    </row>
    <row r="142" spans="1:5" x14ac:dyDescent="0.25">
      <c r="C142">
        <v>27</v>
      </c>
      <c r="D142" s="9" t="e">
        <f>+#REF!/C142</f>
        <v>#REF!</v>
      </c>
    </row>
    <row r="143" spans="1:5" x14ac:dyDescent="0.25">
      <c r="C143">
        <v>26</v>
      </c>
      <c r="D143" s="9" t="e">
        <f>+#REF!/C143</f>
        <v>#REF!</v>
      </c>
    </row>
    <row r="144" spans="1:5" x14ac:dyDescent="0.25">
      <c r="C144">
        <v>6</v>
      </c>
      <c r="D144" s="9" t="e">
        <f>+#REF!/C144</f>
        <v>#REF!</v>
      </c>
    </row>
    <row r="145" spans="3:4" x14ac:dyDescent="0.25">
      <c r="C145">
        <v>10</v>
      </c>
      <c r="D145" s="9" t="e">
        <f>+#REF!/C145</f>
        <v>#REF!</v>
      </c>
    </row>
    <row r="146" spans="3:4" x14ac:dyDescent="0.25">
      <c r="C146">
        <v>45</v>
      </c>
      <c r="D146" s="9" t="e">
        <f>+#REF!/C146</f>
        <v>#REF!</v>
      </c>
    </row>
    <row r="147" spans="3:4" x14ac:dyDescent="0.25">
      <c r="C147">
        <v>30</v>
      </c>
      <c r="D147" s="9" t="e">
        <f>+#REF!/C147</f>
        <v>#REF!</v>
      </c>
    </row>
    <row r="148" spans="3:4" x14ac:dyDescent="0.25">
      <c r="C148">
        <v>4</v>
      </c>
      <c r="D148" s="9" t="e">
        <f>+#REF!/C148</f>
        <v>#REF!</v>
      </c>
    </row>
    <row r="149" spans="3:4" x14ac:dyDescent="0.25">
      <c r="C149">
        <v>30</v>
      </c>
      <c r="D149" s="9" t="e">
        <f>+#REF!/C149</f>
        <v>#REF!</v>
      </c>
    </row>
    <row r="150" spans="3:4" x14ac:dyDescent="0.25">
      <c r="C150">
        <v>57</v>
      </c>
      <c r="D150" s="9" t="e">
        <f>+#REF!/C150</f>
        <v>#REF!</v>
      </c>
    </row>
    <row r="151" spans="3:4" x14ac:dyDescent="0.25">
      <c r="C151">
        <v>21</v>
      </c>
      <c r="D151" s="9" t="e">
        <f>+#REF!/C151</f>
        <v>#REF!</v>
      </c>
    </row>
    <row r="152" spans="3:4" x14ac:dyDescent="0.25">
      <c r="C152">
        <v>1</v>
      </c>
      <c r="D152" s="9" t="e">
        <f>+#REF!/C152</f>
        <v>#REF!</v>
      </c>
    </row>
    <row r="153" spans="3:4" x14ac:dyDescent="0.25">
      <c r="C153">
        <v>25</v>
      </c>
      <c r="D153" s="9" t="e">
        <f>+#REF!/C153</f>
        <v>#REF!</v>
      </c>
    </row>
    <row r="154" spans="3:4" x14ac:dyDescent="0.25">
      <c r="C154">
        <v>10</v>
      </c>
      <c r="D154" s="9" t="e">
        <f>+#REF!/C154</f>
        <v>#REF!</v>
      </c>
    </row>
    <row r="155" spans="3:4" x14ac:dyDescent="0.25">
      <c r="C155">
        <v>62</v>
      </c>
      <c r="D155" s="9" t="e">
        <f>+#REF!/C155</f>
        <v>#REF!</v>
      </c>
    </row>
    <row r="156" spans="3:4" x14ac:dyDescent="0.25">
      <c r="C156">
        <v>2</v>
      </c>
      <c r="D156" s="9" t="e">
        <f>+#REF!/C156</f>
        <v>#REF!</v>
      </c>
    </row>
    <row r="157" spans="3:4" x14ac:dyDescent="0.25">
      <c r="C157">
        <v>4</v>
      </c>
      <c r="D157" s="9" t="e">
        <f>+#REF!/C157</f>
        <v>#REF!</v>
      </c>
    </row>
    <row r="158" spans="3:4" x14ac:dyDescent="0.25">
      <c r="C158">
        <v>35</v>
      </c>
      <c r="D158" s="9" t="e">
        <f>+#REF!/C158</f>
        <v>#REF!</v>
      </c>
    </row>
    <row r="159" spans="3:4" x14ac:dyDescent="0.25">
      <c r="C159">
        <v>10</v>
      </c>
      <c r="D159" s="9" t="e">
        <f>+#REF!/C159</f>
        <v>#REF!</v>
      </c>
    </row>
    <row r="160" spans="3:4" x14ac:dyDescent="0.25">
      <c r="C160">
        <v>2</v>
      </c>
      <c r="D160" s="9" t="e">
        <f>+#REF!/C160</f>
        <v>#REF!</v>
      </c>
    </row>
    <row r="161" spans="3:4" x14ac:dyDescent="0.25">
      <c r="C161">
        <v>2</v>
      </c>
      <c r="D161" s="9" t="e">
        <f>+#REF!/C161</f>
        <v>#REF!</v>
      </c>
    </row>
    <row r="162" spans="3:4" x14ac:dyDescent="0.25">
      <c r="C162">
        <v>10</v>
      </c>
      <c r="D162" s="9" t="e">
        <f>+#REF!/C162</f>
        <v>#REF!</v>
      </c>
    </row>
    <row r="163" spans="3:4" x14ac:dyDescent="0.25">
      <c r="C163">
        <v>6</v>
      </c>
      <c r="D163" s="9" t="e">
        <f>+#REF!/C163</f>
        <v>#REF!</v>
      </c>
    </row>
    <row r="164" spans="3:4" x14ac:dyDescent="0.25">
      <c r="C164">
        <v>23</v>
      </c>
      <c r="D164" s="9" t="e">
        <f>+#REF!/C164</f>
        <v>#REF!</v>
      </c>
    </row>
    <row r="165" spans="3:4" x14ac:dyDescent="0.25">
      <c r="C165">
        <v>20</v>
      </c>
      <c r="D165" s="9" t="e">
        <f>+#REF!/C165</f>
        <v>#REF!</v>
      </c>
    </row>
    <row r="166" spans="3:4" x14ac:dyDescent="0.25">
      <c r="C166">
        <v>10</v>
      </c>
      <c r="D166" s="9" t="e">
        <f>+#REF!/C166</f>
        <v>#REF!</v>
      </c>
    </row>
    <row r="167" spans="3:4" x14ac:dyDescent="0.25">
      <c r="C167">
        <v>35</v>
      </c>
      <c r="D167" s="9" t="e">
        <f>+#REF!/C167</f>
        <v>#REF!</v>
      </c>
    </row>
    <row r="168" spans="3:4" x14ac:dyDescent="0.25">
      <c r="C168">
        <v>3</v>
      </c>
      <c r="D168" s="9" t="e">
        <f>+#REF!/C168</f>
        <v>#REF!</v>
      </c>
    </row>
    <row r="169" spans="3:4" x14ac:dyDescent="0.25">
      <c r="C169">
        <v>25</v>
      </c>
      <c r="D169" s="9" t="e">
        <f>+#REF!/C169</f>
        <v>#REF!</v>
      </c>
    </row>
    <row r="170" spans="3:4" x14ac:dyDescent="0.25">
      <c r="C170">
        <v>20</v>
      </c>
      <c r="D170" s="9" t="e">
        <f>+#REF!/C170</f>
        <v>#REF!</v>
      </c>
    </row>
    <row r="171" spans="3:4" x14ac:dyDescent="0.25">
      <c r="C171">
        <v>40</v>
      </c>
      <c r="D171" s="9" t="e">
        <f>+#REF!/C171</f>
        <v>#REF!</v>
      </c>
    </row>
    <row r="172" spans="3:4" x14ac:dyDescent="0.25">
      <c r="C172">
        <v>4</v>
      </c>
      <c r="D172" s="9" t="e">
        <f>+#REF!/C172</f>
        <v>#REF!</v>
      </c>
    </row>
    <row r="173" spans="3:4" x14ac:dyDescent="0.25">
      <c r="C173">
        <v>44</v>
      </c>
      <c r="D173" s="9" t="e">
        <f>+#REF!/C173</f>
        <v>#REF!</v>
      </c>
    </row>
    <row r="174" spans="3:4" x14ac:dyDescent="0.25">
      <c r="C174">
        <v>2</v>
      </c>
      <c r="D174" s="9" t="e">
        <f>+#REF!/C174</f>
        <v>#REF!</v>
      </c>
    </row>
    <row r="175" spans="3:4" x14ac:dyDescent="0.25">
      <c r="C175">
        <v>20</v>
      </c>
      <c r="D175" s="9" t="e">
        <f>+#REF!/C175</f>
        <v>#REF!</v>
      </c>
    </row>
    <row r="176" spans="3:4" x14ac:dyDescent="0.25">
      <c r="C176">
        <v>30</v>
      </c>
      <c r="D176" s="9" t="e">
        <f>+#REF!/C176</f>
        <v>#REF!</v>
      </c>
    </row>
    <row r="177" spans="3:6" x14ac:dyDescent="0.25">
      <c r="C177">
        <v>10</v>
      </c>
      <c r="D177" s="9" t="e">
        <f>+#REF!/C177</f>
        <v>#REF!</v>
      </c>
      <c r="F177" s="9" t="e">
        <f>+AVERAGE(#REF!)/AVERAGE(C141:C183)</f>
        <v>#REF!</v>
      </c>
    </row>
    <row r="178" spans="3:6" x14ac:dyDescent="0.25">
      <c r="C178">
        <v>36</v>
      </c>
      <c r="D178" s="9" t="e">
        <f>+#REF!/C178</f>
        <v>#REF!</v>
      </c>
    </row>
    <row r="179" spans="3:6" x14ac:dyDescent="0.25">
      <c r="C179">
        <v>9</v>
      </c>
      <c r="D179" s="9" t="e">
        <f>+#REF!/C179</f>
        <v>#REF!</v>
      </c>
    </row>
    <row r="180" spans="3:6" x14ac:dyDescent="0.25">
      <c r="C180">
        <v>4</v>
      </c>
      <c r="D180" s="9" t="e">
        <f>+#REF!/C180</f>
        <v>#REF!</v>
      </c>
    </row>
    <row r="181" spans="3:6" x14ac:dyDescent="0.25">
      <c r="C181">
        <v>30</v>
      </c>
      <c r="D181" s="9" t="e">
        <f>+#REF!/C181</f>
        <v>#REF!</v>
      </c>
    </row>
    <row r="182" spans="3:6" x14ac:dyDescent="0.25">
      <c r="C182">
        <v>44</v>
      </c>
      <c r="D182" s="9" t="e">
        <f>+#REF!/C182</f>
        <v>#REF!</v>
      </c>
    </row>
    <row r="183" spans="3:6" x14ac:dyDescent="0.25">
      <c r="C183">
        <v>2</v>
      </c>
      <c r="D183" s="9" t="e">
        <f>+#REF!/C183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509E-0F24-403D-B673-57DC565281B9}">
  <dimension ref="A1:J183"/>
  <sheetViews>
    <sheetView workbookViewId="0">
      <selection activeCell="C14" sqref="C14"/>
    </sheetView>
  </sheetViews>
  <sheetFormatPr baseColWidth="10" defaultColWidth="9.140625" defaultRowHeight="15" x14ac:dyDescent="0.25"/>
  <cols>
    <col min="1" max="1" width="11.5703125" style="8" bestFit="1" customWidth="1"/>
    <col min="2" max="3" width="12" style="9" bestFit="1" customWidth="1"/>
    <col min="4" max="4" width="22.7109375" bestFit="1" customWidth="1"/>
    <col min="6" max="6" width="14.140625" style="9" bestFit="1" customWidth="1"/>
    <col min="7" max="7" width="17.42578125" bestFit="1" customWidth="1"/>
    <col min="8" max="8" width="16.855468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 t="s">
        <v>7</v>
      </c>
    </row>
    <row r="2" spans="1:8" ht="15.75" thickBot="1" x14ac:dyDescent="0.3">
      <c r="A2" s="5"/>
      <c r="B2" s="6">
        <f>+SUM(B3:B473)</f>
        <v>33415000</v>
      </c>
      <c r="C2" s="6">
        <f>+SUM(C3:C451)</f>
        <v>79839000</v>
      </c>
      <c r="D2" s="7"/>
      <c r="E2" s="7"/>
      <c r="F2" s="6"/>
      <c r="G2" s="7"/>
      <c r="H2" s="7"/>
    </row>
    <row r="3" spans="1:8" x14ac:dyDescent="0.25">
      <c r="A3" s="8">
        <v>44805</v>
      </c>
      <c r="C3" s="10">
        <v>2600000</v>
      </c>
      <c r="D3" t="s">
        <v>8</v>
      </c>
      <c r="E3">
        <v>1</v>
      </c>
      <c r="F3" s="9">
        <v>2600000</v>
      </c>
    </row>
    <row r="4" spans="1:8" x14ac:dyDescent="0.25">
      <c r="A4" s="8">
        <v>44816</v>
      </c>
      <c r="C4" s="11">
        <v>160000</v>
      </c>
      <c r="D4" t="s">
        <v>9</v>
      </c>
      <c r="E4">
        <v>1</v>
      </c>
      <c r="F4" s="9">
        <v>160000</v>
      </c>
      <c r="G4" t="s">
        <v>10</v>
      </c>
    </row>
    <row r="5" spans="1:8" x14ac:dyDescent="0.25">
      <c r="A5" s="8">
        <v>44816</v>
      </c>
      <c r="C5" s="11">
        <v>348000</v>
      </c>
      <c r="D5" t="s">
        <v>11</v>
      </c>
      <c r="E5">
        <v>1</v>
      </c>
      <c r="F5" s="9">
        <v>348000</v>
      </c>
      <c r="G5" t="s">
        <v>12</v>
      </c>
    </row>
    <row r="6" spans="1:8" x14ac:dyDescent="0.25">
      <c r="A6" s="8">
        <v>44816</v>
      </c>
      <c r="C6" s="11">
        <v>157000</v>
      </c>
      <c r="D6" t="s">
        <v>13</v>
      </c>
      <c r="E6">
        <v>1</v>
      </c>
      <c r="F6" s="9">
        <v>157000</v>
      </c>
      <c r="G6" t="s">
        <v>12</v>
      </c>
    </row>
    <row r="7" spans="1:8" x14ac:dyDescent="0.25">
      <c r="A7" s="8">
        <v>44816</v>
      </c>
      <c r="C7" s="11">
        <v>120000</v>
      </c>
      <c r="D7" t="s">
        <v>14</v>
      </c>
    </row>
    <row r="8" spans="1:8" x14ac:dyDescent="0.25">
      <c r="A8" s="8">
        <v>44817</v>
      </c>
      <c r="C8" s="11">
        <v>75000</v>
      </c>
      <c r="D8" t="s">
        <v>15</v>
      </c>
    </row>
    <row r="9" spans="1:8" x14ac:dyDescent="0.25">
      <c r="A9" s="8">
        <v>44788</v>
      </c>
      <c r="C9" s="11">
        <v>70000</v>
      </c>
      <c r="D9" t="s">
        <v>16</v>
      </c>
      <c r="E9">
        <v>2</v>
      </c>
      <c r="F9" s="9">
        <v>35000</v>
      </c>
      <c r="G9" t="s">
        <v>12</v>
      </c>
    </row>
    <row r="10" spans="1:8" x14ac:dyDescent="0.25">
      <c r="A10" s="8">
        <v>44820</v>
      </c>
      <c r="C10" s="11">
        <v>14200000</v>
      </c>
      <c r="D10" t="s">
        <v>17</v>
      </c>
      <c r="E10">
        <v>2000</v>
      </c>
      <c r="F10" s="9">
        <f>+C10/E10</f>
        <v>7100</v>
      </c>
    </row>
    <row r="11" spans="1:8" x14ac:dyDescent="0.25">
      <c r="A11" s="8">
        <v>44820</v>
      </c>
      <c r="C11" s="11">
        <v>730000</v>
      </c>
      <c r="D11" t="s">
        <v>18</v>
      </c>
      <c r="E11">
        <v>10</v>
      </c>
      <c r="F11" s="9">
        <f>+C11/E11</f>
        <v>73000</v>
      </c>
      <c r="G11" t="s">
        <v>10</v>
      </c>
    </row>
    <row r="12" spans="1:8" x14ac:dyDescent="0.25">
      <c r="A12" s="8">
        <v>44820</v>
      </c>
      <c r="C12" s="11">
        <v>60000</v>
      </c>
      <c r="D12" t="s">
        <v>19</v>
      </c>
      <c r="E12">
        <v>1</v>
      </c>
      <c r="G12" t="s">
        <v>10</v>
      </c>
    </row>
    <row r="13" spans="1:8" x14ac:dyDescent="0.25">
      <c r="A13" s="8">
        <v>44820</v>
      </c>
      <c r="C13" s="11">
        <v>245000</v>
      </c>
      <c r="D13" t="s">
        <v>20</v>
      </c>
      <c r="E13">
        <v>1</v>
      </c>
      <c r="F13" s="9">
        <v>245000</v>
      </c>
      <c r="G13" t="s">
        <v>10</v>
      </c>
    </row>
    <row r="14" spans="1:8" x14ac:dyDescent="0.25">
      <c r="A14" s="8">
        <v>44820</v>
      </c>
      <c r="C14" s="11">
        <v>32000</v>
      </c>
      <c r="D14" t="s">
        <v>21</v>
      </c>
    </row>
    <row r="15" spans="1:8" x14ac:dyDescent="0.25">
      <c r="A15" s="8">
        <v>44820</v>
      </c>
      <c r="C15" s="11">
        <v>55000</v>
      </c>
      <c r="D15" t="s">
        <v>22</v>
      </c>
      <c r="E15">
        <v>2</v>
      </c>
      <c r="F15" s="9">
        <f>+C15/E15</f>
        <v>27500</v>
      </c>
    </row>
    <row r="16" spans="1:8" x14ac:dyDescent="0.25">
      <c r="A16" s="8">
        <v>44820</v>
      </c>
      <c r="C16" s="11">
        <v>50000</v>
      </c>
      <c r="D16" t="s">
        <v>22</v>
      </c>
      <c r="E16">
        <v>2</v>
      </c>
      <c r="F16" s="9">
        <f>+C16/E16</f>
        <v>25000</v>
      </c>
    </row>
    <row r="17" spans="1:7" x14ac:dyDescent="0.25">
      <c r="A17" s="8">
        <v>44826</v>
      </c>
      <c r="C17" s="11">
        <v>545000</v>
      </c>
      <c r="D17" t="s">
        <v>23</v>
      </c>
    </row>
    <row r="18" spans="1:7" x14ac:dyDescent="0.25">
      <c r="A18" s="8">
        <v>44826</v>
      </c>
      <c r="C18" s="11">
        <v>1095000</v>
      </c>
      <c r="D18" t="s">
        <v>18</v>
      </c>
      <c r="E18">
        <v>15</v>
      </c>
      <c r="F18" s="9">
        <f>+C18/E18</f>
        <v>73000</v>
      </c>
    </row>
    <row r="19" spans="1:7" x14ac:dyDescent="0.25">
      <c r="A19" s="8">
        <v>44827</v>
      </c>
      <c r="C19" s="11">
        <v>60000</v>
      </c>
      <c r="D19" t="s">
        <v>24</v>
      </c>
      <c r="E19">
        <v>2</v>
      </c>
      <c r="F19" s="9">
        <v>30000</v>
      </c>
    </row>
    <row r="20" spans="1:7" x14ac:dyDescent="0.25">
      <c r="A20" s="8">
        <v>44834</v>
      </c>
      <c r="C20" s="11">
        <v>1460000</v>
      </c>
      <c r="D20" t="s">
        <v>18</v>
      </c>
      <c r="E20">
        <v>20</v>
      </c>
      <c r="F20" s="9">
        <f>+C20/E20</f>
        <v>73000</v>
      </c>
    </row>
    <row r="21" spans="1:7" x14ac:dyDescent="0.25">
      <c r="A21" s="8">
        <v>44834</v>
      </c>
      <c r="C21" s="11">
        <v>120000</v>
      </c>
      <c r="D21" t="s">
        <v>23</v>
      </c>
    </row>
    <row r="22" spans="1:7" x14ac:dyDescent="0.25">
      <c r="A22" s="12">
        <v>44834</v>
      </c>
      <c r="B22" s="13"/>
      <c r="C22" s="14">
        <v>120000</v>
      </c>
      <c r="D22" s="15" t="s">
        <v>25</v>
      </c>
      <c r="E22" s="15">
        <v>2</v>
      </c>
      <c r="F22" s="13">
        <v>60000</v>
      </c>
      <c r="G22" s="15"/>
    </row>
    <row r="23" spans="1:7" x14ac:dyDescent="0.25">
      <c r="A23" s="8">
        <v>44840</v>
      </c>
      <c r="C23" s="16">
        <v>270000</v>
      </c>
      <c r="D23" t="s">
        <v>26</v>
      </c>
      <c r="E23">
        <v>6</v>
      </c>
      <c r="F23" s="9">
        <f>+C23/E23</f>
        <v>45000</v>
      </c>
    </row>
    <row r="24" spans="1:7" x14ac:dyDescent="0.25">
      <c r="A24" s="8">
        <v>44841</v>
      </c>
      <c r="C24" s="16">
        <v>84000</v>
      </c>
      <c r="D24" t="s">
        <v>23</v>
      </c>
    </row>
    <row r="25" spans="1:7" x14ac:dyDescent="0.25">
      <c r="A25" s="8">
        <v>44841</v>
      </c>
      <c r="C25" s="16">
        <v>1314000</v>
      </c>
      <c r="D25" t="s">
        <v>18</v>
      </c>
      <c r="E25">
        <v>18</v>
      </c>
      <c r="F25" s="9">
        <f>+C25/E25</f>
        <v>73000</v>
      </c>
    </row>
    <row r="26" spans="1:7" x14ac:dyDescent="0.25">
      <c r="A26" s="8">
        <v>44845</v>
      </c>
      <c r="C26" s="16">
        <v>60000</v>
      </c>
      <c r="D26" t="s">
        <v>24</v>
      </c>
      <c r="E26">
        <v>2</v>
      </c>
      <c r="F26" s="9">
        <v>30000</v>
      </c>
    </row>
    <row r="27" spans="1:7" x14ac:dyDescent="0.25">
      <c r="A27" s="8">
        <v>44848</v>
      </c>
      <c r="C27" s="16">
        <v>165000</v>
      </c>
      <c r="D27" t="s">
        <v>23</v>
      </c>
    </row>
    <row r="28" spans="1:7" x14ac:dyDescent="0.25">
      <c r="A28" s="8">
        <v>44848</v>
      </c>
      <c r="C28" s="16">
        <v>1460000</v>
      </c>
      <c r="D28" t="s">
        <v>18</v>
      </c>
      <c r="E28">
        <v>20</v>
      </c>
      <c r="F28" s="9">
        <f>+C28/E28</f>
        <v>73000</v>
      </c>
    </row>
    <row r="29" spans="1:7" x14ac:dyDescent="0.25">
      <c r="A29" s="8">
        <v>44849</v>
      </c>
      <c r="C29" s="16">
        <v>140000</v>
      </c>
      <c r="D29" t="s">
        <v>23</v>
      </c>
    </row>
    <row r="30" spans="1:7" x14ac:dyDescent="0.25">
      <c r="A30" s="8">
        <v>44852</v>
      </c>
      <c r="C30" s="16">
        <v>360000</v>
      </c>
      <c r="D30" t="s">
        <v>26</v>
      </c>
      <c r="E30">
        <v>8</v>
      </c>
      <c r="F30" s="9">
        <f>+C30/E30</f>
        <v>45000</v>
      </c>
    </row>
    <row r="31" spans="1:7" x14ac:dyDescent="0.25">
      <c r="A31" s="8">
        <v>44855</v>
      </c>
      <c r="C31" s="16">
        <v>1460000</v>
      </c>
      <c r="D31" t="s">
        <v>18</v>
      </c>
      <c r="E31">
        <v>20</v>
      </c>
      <c r="F31" s="9">
        <f>+C31/E31</f>
        <v>73000</v>
      </c>
    </row>
    <row r="32" spans="1:7" x14ac:dyDescent="0.25">
      <c r="A32" s="8">
        <v>44860</v>
      </c>
      <c r="C32" s="16">
        <v>720000</v>
      </c>
      <c r="D32" t="s">
        <v>27</v>
      </c>
      <c r="E32">
        <v>2000</v>
      </c>
      <c r="F32" s="9">
        <f>+C32/E32</f>
        <v>360</v>
      </c>
    </row>
    <row r="33" spans="1:7" x14ac:dyDescent="0.25">
      <c r="A33" s="8">
        <v>44860</v>
      </c>
      <c r="C33" s="16">
        <v>60000</v>
      </c>
      <c r="D33" t="s">
        <v>28</v>
      </c>
      <c r="E33">
        <v>1</v>
      </c>
      <c r="F33" s="9">
        <v>60000</v>
      </c>
    </row>
    <row r="34" spans="1:7" x14ac:dyDescent="0.25">
      <c r="A34" s="12">
        <v>44862</v>
      </c>
      <c r="B34" s="13"/>
      <c r="C34" s="14">
        <v>1825000</v>
      </c>
      <c r="D34" s="15" t="s">
        <v>18</v>
      </c>
      <c r="E34" s="15">
        <v>25</v>
      </c>
      <c r="F34" s="13">
        <f>+C34/E34</f>
        <v>73000</v>
      </c>
      <c r="G34" s="15"/>
    </row>
    <row r="35" spans="1:7" x14ac:dyDescent="0.25">
      <c r="A35" s="8">
        <v>44866</v>
      </c>
      <c r="C35" s="11">
        <v>115000</v>
      </c>
      <c r="D35" t="s">
        <v>29</v>
      </c>
      <c r="E35">
        <v>1</v>
      </c>
      <c r="F35" s="9">
        <f>+C35/E35</f>
        <v>115000</v>
      </c>
    </row>
    <row r="36" spans="1:7" x14ac:dyDescent="0.25">
      <c r="A36" s="8">
        <v>44869</v>
      </c>
      <c r="C36" s="11">
        <v>2190000</v>
      </c>
      <c r="D36" t="s">
        <v>18</v>
      </c>
      <c r="E36">
        <v>30</v>
      </c>
      <c r="F36" s="9">
        <f t="shared" ref="F36:F52" si="0">+C36/E36</f>
        <v>73000</v>
      </c>
    </row>
    <row r="37" spans="1:7" x14ac:dyDescent="0.25">
      <c r="A37" s="8">
        <v>44877</v>
      </c>
      <c r="C37" s="11">
        <v>1800000</v>
      </c>
      <c r="D37" t="s">
        <v>30</v>
      </c>
      <c r="E37">
        <v>25</v>
      </c>
      <c r="F37" s="9">
        <f t="shared" si="0"/>
        <v>72000</v>
      </c>
    </row>
    <row r="38" spans="1:7" x14ac:dyDescent="0.25">
      <c r="A38" s="8">
        <v>44883</v>
      </c>
      <c r="C38" s="11">
        <v>2520000</v>
      </c>
      <c r="D38" t="s">
        <v>30</v>
      </c>
      <c r="E38">
        <v>35</v>
      </c>
      <c r="F38" s="9">
        <f t="shared" si="0"/>
        <v>72000</v>
      </c>
    </row>
    <row r="39" spans="1:7" x14ac:dyDescent="0.25">
      <c r="A39" s="8">
        <v>44891</v>
      </c>
      <c r="C39" s="11">
        <v>2160000</v>
      </c>
      <c r="D39" t="s">
        <v>30</v>
      </c>
      <c r="E39">
        <v>30</v>
      </c>
      <c r="F39" s="9">
        <f t="shared" si="0"/>
        <v>72000</v>
      </c>
    </row>
    <row r="40" spans="1:7" x14ac:dyDescent="0.25">
      <c r="A40" s="12">
        <v>44893</v>
      </c>
      <c r="B40" s="13">
        <v>100000</v>
      </c>
      <c r="C40" s="14"/>
      <c r="D40" s="15" t="s">
        <v>31</v>
      </c>
      <c r="E40" s="15">
        <v>200</v>
      </c>
      <c r="F40" s="13">
        <f>+B40/E40</f>
        <v>500</v>
      </c>
      <c r="G40" s="15" t="s">
        <v>32</v>
      </c>
    </row>
    <row r="41" spans="1:7" x14ac:dyDescent="0.25">
      <c r="A41" s="8">
        <v>44897</v>
      </c>
      <c r="C41" s="11">
        <v>2520000</v>
      </c>
      <c r="D41" t="s">
        <v>30</v>
      </c>
      <c r="E41">
        <v>35</v>
      </c>
      <c r="F41" s="9">
        <f t="shared" si="0"/>
        <v>72000</v>
      </c>
    </row>
    <row r="42" spans="1:7" x14ac:dyDescent="0.25">
      <c r="A42" s="8">
        <v>44901</v>
      </c>
      <c r="B42" s="9">
        <v>50000</v>
      </c>
      <c r="C42" s="11"/>
      <c r="D42" t="s">
        <v>31</v>
      </c>
      <c r="E42">
        <v>100</v>
      </c>
      <c r="F42" s="17">
        <f>+B42/E42</f>
        <v>500</v>
      </c>
    </row>
    <row r="43" spans="1:7" x14ac:dyDescent="0.25">
      <c r="A43" s="8">
        <v>44904</v>
      </c>
      <c r="C43" s="11">
        <v>3024000</v>
      </c>
      <c r="D43" t="s">
        <v>30</v>
      </c>
      <c r="E43">
        <v>42</v>
      </c>
      <c r="F43" s="17">
        <f t="shared" si="0"/>
        <v>72000</v>
      </c>
    </row>
    <row r="44" spans="1:7" x14ac:dyDescent="0.25">
      <c r="A44" s="8">
        <v>44912</v>
      </c>
      <c r="C44" s="11">
        <v>3024000</v>
      </c>
      <c r="D44" t="s">
        <v>30</v>
      </c>
      <c r="E44">
        <v>42</v>
      </c>
      <c r="F44" s="9">
        <f t="shared" si="0"/>
        <v>72000</v>
      </c>
    </row>
    <row r="45" spans="1:7" x14ac:dyDescent="0.25">
      <c r="A45" s="8">
        <v>44916</v>
      </c>
      <c r="C45" s="11">
        <v>3024000</v>
      </c>
      <c r="D45" t="s">
        <v>30</v>
      </c>
      <c r="E45">
        <v>42</v>
      </c>
      <c r="F45" s="9">
        <f t="shared" si="0"/>
        <v>72000</v>
      </c>
    </row>
    <row r="46" spans="1:7" x14ac:dyDescent="0.25">
      <c r="A46" s="12">
        <v>44924</v>
      </c>
      <c r="B46" s="13"/>
      <c r="C46" s="14">
        <v>3024000</v>
      </c>
      <c r="D46" s="15" t="s">
        <v>30</v>
      </c>
      <c r="E46" s="15">
        <v>42</v>
      </c>
      <c r="F46" s="13">
        <f t="shared" si="0"/>
        <v>72000</v>
      </c>
      <c r="G46" s="15"/>
    </row>
    <row r="47" spans="1:7" x14ac:dyDescent="0.25">
      <c r="A47" s="8">
        <v>44932</v>
      </c>
      <c r="C47" s="11">
        <v>3024000</v>
      </c>
      <c r="D47" t="s">
        <v>30</v>
      </c>
      <c r="E47">
        <v>42</v>
      </c>
      <c r="F47" s="9">
        <f t="shared" si="0"/>
        <v>72000</v>
      </c>
    </row>
    <row r="48" spans="1:7" x14ac:dyDescent="0.25">
      <c r="A48" s="8">
        <v>44939</v>
      </c>
      <c r="C48" s="11">
        <v>3456000</v>
      </c>
      <c r="D48" t="s">
        <v>30</v>
      </c>
      <c r="E48">
        <v>48</v>
      </c>
      <c r="F48" s="9">
        <f t="shared" si="0"/>
        <v>72000</v>
      </c>
    </row>
    <row r="49" spans="1:9" x14ac:dyDescent="0.25">
      <c r="A49" s="8">
        <v>44946</v>
      </c>
      <c r="C49" s="11">
        <f>3528000+216000</f>
        <v>3744000</v>
      </c>
      <c r="D49" t="s">
        <v>30</v>
      </c>
      <c r="E49">
        <v>52</v>
      </c>
      <c r="F49" s="9">
        <f t="shared" si="0"/>
        <v>72000</v>
      </c>
    </row>
    <row r="50" spans="1:9" x14ac:dyDescent="0.25">
      <c r="A50" s="8">
        <v>44950</v>
      </c>
      <c r="C50" s="11">
        <v>195000</v>
      </c>
      <c r="D50" t="s">
        <v>33</v>
      </c>
      <c r="E50">
        <v>1</v>
      </c>
      <c r="F50" s="9">
        <f t="shared" si="0"/>
        <v>195000</v>
      </c>
    </row>
    <row r="51" spans="1:9" x14ac:dyDescent="0.25">
      <c r="A51" s="8">
        <v>44953</v>
      </c>
      <c r="B51" s="9">
        <v>140000</v>
      </c>
      <c r="C51" s="11"/>
      <c r="D51" t="s">
        <v>31</v>
      </c>
      <c r="E51">
        <v>280</v>
      </c>
      <c r="F51" s="9">
        <f>+B51/E51</f>
        <v>500</v>
      </c>
    </row>
    <row r="52" spans="1:9" ht="15.75" thickBot="1" x14ac:dyDescent="0.3">
      <c r="A52" s="8">
        <v>44954</v>
      </c>
      <c r="C52" s="18">
        <v>3300000</v>
      </c>
      <c r="D52" t="s">
        <v>34</v>
      </c>
      <c r="E52">
        <v>50</v>
      </c>
      <c r="F52" s="9">
        <f t="shared" si="0"/>
        <v>66000</v>
      </c>
    </row>
    <row r="53" spans="1:9" x14ac:dyDescent="0.25">
      <c r="A53" s="8">
        <v>44956</v>
      </c>
      <c r="B53" s="9">
        <v>150000</v>
      </c>
      <c r="C53" s="19"/>
      <c r="D53" t="s">
        <v>35</v>
      </c>
      <c r="E53">
        <v>10</v>
      </c>
      <c r="F53" s="9">
        <f>+B53/E53</f>
        <v>15000</v>
      </c>
    </row>
    <row r="54" spans="1:9" x14ac:dyDescent="0.25">
      <c r="A54" s="12">
        <v>44957</v>
      </c>
      <c r="B54" s="13">
        <v>20000</v>
      </c>
      <c r="C54" s="20"/>
      <c r="D54" s="15" t="s">
        <v>35</v>
      </c>
      <c r="E54" s="15">
        <v>1</v>
      </c>
      <c r="F54" s="13">
        <f>+B54/E54</f>
        <v>20000</v>
      </c>
      <c r="G54" s="15"/>
    </row>
    <row r="55" spans="1:9" x14ac:dyDescent="0.25">
      <c r="A55" s="8">
        <v>44958</v>
      </c>
      <c r="B55" s="9">
        <v>198000</v>
      </c>
      <c r="C55" s="19"/>
      <c r="D55" t="s">
        <v>35</v>
      </c>
      <c r="E55">
        <v>11</v>
      </c>
      <c r="F55" s="17">
        <f t="shared" ref="F55:F116" si="1">+B55/E55</f>
        <v>18000</v>
      </c>
    </row>
    <row r="56" spans="1:9" x14ac:dyDescent="0.25">
      <c r="A56" s="8">
        <v>44959</v>
      </c>
      <c r="B56" s="9">
        <v>10000</v>
      </c>
      <c r="C56" s="19"/>
      <c r="D56" t="s">
        <v>36</v>
      </c>
      <c r="E56">
        <v>15</v>
      </c>
      <c r="F56" s="17">
        <f t="shared" si="1"/>
        <v>666.66666666666663</v>
      </c>
    </row>
    <row r="57" spans="1:9" x14ac:dyDescent="0.25">
      <c r="A57" s="8">
        <v>44960</v>
      </c>
      <c r="C57" s="19">
        <v>3432000</v>
      </c>
      <c r="D57" t="s">
        <v>34</v>
      </c>
      <c r="E57">
        <v>52</v>
      </c>
      <c r="F57" s="17">
        <f>+C57/E57</f>
        <v>66000</v>
      </c>
    </row>
    <row r="58" spans="1:9" x14ac:dyDescent="0.25">
      <c r="A58" s="8">
        <v>44962</v>
      </c>
      <c r="B58" s="9">
        <v>180000</v>
      </c>
      <c r="C58" s="19"/>
      <c r="D58" t="s">
        <v>37</v>
      </c>
      <c r="E58">
        <v>10</v>
      </c>
      <c r="F58" s="17">
        <f>+B58/E58</f>
        <v>18000</v>
      </c>
      <c r="G58" t="s">
        <v>38</v>
      </c>
    </row>
    <row r="59" spans="1:9" x14ac:dyDescent="0.25">
      <c r="A59" s="8">
        <v>44963</v>
      </c>
      <c r="B59" s="9">
        <v>595000</v>
      </c>
      <c r="C59" s="19"/>
      <c r="D59" t="s">
        <v>35</v>
      </c>
      <c r="E59">
        <v>35</v>
      </c>
      <c r="F59" s="17">
        <f t="shared" si="1"/>
        <v>17000</v>
      </c>
      <c r="G59" t="s">
        <v>39</v>
      </c>
    </row>
    <row r="60" spans="1:9" x14ac:dyDescent="0.25">
      <c r="A60" s="8">
        <v>44963</v>
      </c>
      <c r="B60" s="21">
        <v>558000</v>
      </c>
      <c r="C60" s="22"/>
      <c r="D60" s="23" t="s">
        <v>40</v>
      </c>
      <c r="E60" s="23">
        <v>124</v>
      </c>
      <c r="F60" s="24">
        <f t="shared" si="1"/>
        <v>4500</v>
      </c>
      <c r="G60" s="23" t="s">
        <v>41</v>
      </c>
    </row>
    <row r="61" spans="1:9" x14ac:dyDescent="0.25">
      <c r="A61" s="8">
        <v>44963</v>
      </c>
      <c r="B61" s="9">
        <v>285000</v>
      </c>
      <c r="C61" s="19"/>
      <c r="D61" t="s">
        <v>37</v>
      </c>
      <c r="E61">
        <v>15</v>
      </c>
      <c r="F61" s="17">
        <f t="shared" si="1"/>
        <v>19000</v>
      </c>
      <c r="G61" t="s">
        <v>42</v>
      </c>
      <c r="I61">
        <f>8.5*68000+60000+20000</f>
        <v>658000</v>
      </c>
    </row>
    <row r="62" spans="1:9" x14ac:dyDescent="0.25">
      <c r="A62" s="8">
        <v>44963</v>
      </c>
      <c r="B62" s="9">
        <v>25000</v>
      </c>
      <c r="C62" s="19"/>
      <c r="D62" t="s">
        <v>40</v>
      </c>
      <c r="E62">
        <v>5</v>
      </c>
      <c r="F62" s="17">
        <f t="shared" si="1"/>
        <v>5000</v>
      </c>
      <c r="G62" t="s">
        <v>42</v>
      </c>
      <c r="I62">
        <f>I61/20</f>
        <v>32900</v>
      </c>
    </row>
    <row r="63" spans="1:9" x14ac:dyDescent="0.25">
      <c r="A63" s="8">
        <v>44963</v>
      </c>
      <c r="B63" s="9">
        <v>25000</v>
      </c>
      <c r="C63" s="19"/>
      <c r="D63" t="s">
        <v>40</v>
      </c>
      <c r="E63">
        <v>5</v>
      </c>
      <c r="F63" s="9">
        <f t="shared" si="1"/>
        <v>5000</v>
      </c>
      <c r="G63" t="s">
        <v>43</v>
      </c>
    </row>
    <row r="64" spans="1:9" x14ac:dyDescent="0.25">
      <c r="A64" s="8">
        <v>44964</v>
      </c>
      <c r="B64" s="9">
        <v>57000</v>
      </c>
      <c r="C64" s="19"/>
      <c r="D64" t="s">
        <v>40</v>
      </c>
      <c r="E64">
        <v>11.5</v>
      </c>
      <c r="F64" s="9">
        <f t="shared" si="1"/>
        <v>4956.521739130435</v>
      </c>
      <c r="G64" t="s">
        <v>43</v>
      </c>
    </row>
    <row r="65" spans="1:7" x14ac:dyDescent="0.25">
      <c r="A65" s="8">
        <v>44964</v>
      </c>
      <c r="B65" s="9">
        <v>89000</v>
      </c>
      <c r="C65" s="19"/>
      <c r="D65" t="s">
        <v>35</v>
      </c>
      <c r="E65">
        <v>5</v>
      </c>
      <c r="F65" s="9">
        <f t="shared" si="1"/>
        <v>17800</v>
      </c>
      <c r="G65" t="s">
        <v>43</v>
      </c>
    </row>
    <row r="66" spans="1:7" x14ac:dyDescent="0.25">
      <c r="A66" s="8">
        <v>44964</v>
      </c>
      <c r="B66" s="9">
        <v>80000</v>
      </c>
      <c r="C66" s="19"/>
      <c r="D66" t="s">
        <v>40</v>
      </c>
      <c r="E66">
        <v>20</v>
      </c>
      <c r="F66" s="9">
        <f t="shared" si="1"/>
        <v>4000</v>
      </c>
      <c r="G66" t="s">
        <v>38</v>
      </c>
    </row>
    <row r="67" spans="1:7" x14ac:dyDescent="0.25">
      <c r="A67" s="8">
        <v>44964</v>
      </c>
      <c r="B67" s="9">
        <v>60000</v>
      </c>
      <c r="C67" s="19"/>
      <c r="D67" t="s">
        <v>37</v>
      </c>
      <c r="E67">
        <v>3</v>
      </c>
      <c r="F67" s="9">
        <f t="shared" si="1"/>
        <v>20000</v>
      </c>
      <c r="G67" t="s">
        <v>44</v>
      </c>
    </row>
    <row r="68" spans="1:7" x14ac:dyDescent="0.25">
      <c r="A68" s="8">
        <v>44964</v>
      </c>
      <c r="B68" s="9">
        <v>54000</v>
      </c>
      <c r="C68" s="19"/>
      <c r="D68" t="s">
        <v>37</v>
      </c>
      <c r="E68">
        <v>3</v>
      </c>
      <c r="F68" s="9">
        <f t="shared" si="1"/>
        <v>18000</v>
      </c>
      <c r="G68" t="s">
        <v>38</v>
      </c>
    </row>
    <row r="69" spans="1:7" x14ac:dyDescent="0.25">
      <c r="A69" s="8">
        <v>44965</v>
      </c>
      <c r="B69" s="9">
        <v>90000</v>
      </c>
      <c r="C69" s="19"/>
      <c r="D69" t="s">
        <v>37</v>
      </c>
      <c r="E69">
        <v>5</v>
      </c>
      <c r="F69" s="9">
        <f t="shared" si="1"/>
        <v>18000</v>
      </c>
      <c r="G69" t="s">
        <v>38</v>
      </c>
    </row>
    <row r="70" spans="1:7" x14ac:dyDescent="0.25">
      <c r="A70" s="8">
        <v>44967</v>
      </c>
      <c r="B70" s="9">
        <v>20000</v>
      </c>
      <c r="C70" s="20"/>
      <c r="D70" t="s">
        <v>37</v>
      </c>
      <c r="E70">
        <v>1</v>
      </c>
      <c r="F70" s="9">
        <f t="shared" si="1"/>
        <v>20000</v>
      </c>
      <c r="G70" t="s">
        <v>45</v>
      </c>
    </row>
    <row r="71" spans="1:7" x14ac:dyDescent="0.25">
      <c r="A71" s="8">
        <v>44967</v>
      </c>
      <c r="B71" s="9">
        <v>42000</v>
      </c>
      <c r="D71" t="s">
        <v>37</v>
      </c>
      <c r="E71">
        <v>2</v>
      </c>
      <c r="F71" s="9">
        <f t="shared" si="1"/>
        <v>21000</v>
      </c>
      <c r="G71" t="s">
        <v>46</v>
      </c>
    </row>
    <row r="72" spans="1:7" x14ac:dyDescent="0.25">
      <c r="A72" s="8">
        <v>44967</v>
      </c>
      <c r="B72" s="9">
        <v>200000</v>
      </c>
      <c r="D72" t="s">
        <v>37</v>
      </c>
      <c r="E72">
        <v>10</v>
      </c>
      <c r="F72" s="9">
        <f t="shared" si="1"/>
        <v>20000</v>
      </c>
      <c r="G72" t="s">
        <v>47</v>
      </c>
    </row>
    <row r="73" spans="1:7" x14ac:dyDescent="0.25">
      <c r="A73" s="8">
        <v>44967</v>
      </c>
      <c r="B73" s="25"/>
      <c r="C73" s="25">
        <v>4080000</v>
      </c>
      <c r="D73" s="26" t="s">
        <v>34</v>
      </c>
      <c r="E73" s="26">
        <v>60</v>
      </c>
      <c r="F73" s="25">
        <f>+C73/E73</f>
        <v>68000</v>
      </c>
      <c r="G73" s="26" t="s">
        <v>10</v>
      </c>
    </row>
    <row r="74" spans="1:7" x14ac:dyDescent="0.25">
      <c r="A74" s="8">
        <v>44967</v>
      </c>
      <c r="C74" s="9">
        <v>104000</v>
      </c>
      <c r="D74" t="s">
        <v>48</v>
      </c>
      <c r="E74">
        <f>2*100</f>
        <v>200</v>
      </c>
      <c r="F74" s="9">
        <f>+C74/E74</f>
        <v>520</v>
      </c>
      <c r="G74" t="s">
        <v>10</v>
      </c>
    </row>
    <row r="75" spans="1:7" x14ac:dyDescent="0.25">
      <c r="A75" s="8">
        <v>44967</v>
      </c>
      <c r="B75" s="9">
        <v>20000</v>
      </c>
      <c r="D75" t="s">
        <v>49</v>
      </c>
      <c r="E75">
        <v>2</v>
      </c>
      <c r="F75" s="9">
        <f t="shared" si="1"/>
        <v>10000</v>
      </c>
      <c r="G75" t="s">
        <v>45</v>
      </c>
    </row>
    <row r="76" spans="1:7" x14ac:dyDescent="0.25">
      <c r="A76" s="8">
        <v>44967</v>
      </c>
      <c r="B76" s="9">
        <v>425000</v>
      </c>
      <c r="D76" t="s">
        <v>35</v>
      </c>
      <c r="E76">
        <v>25</v>
      </c>
      <c r="F76" s="9">
        <f t="shared" si="1"/>
        <v>17000</v>
      </c>
      <c r="G76" t="s">
        <v>39</v>
      </c>
    </row>
    <row r="77" spans="1:7" x14ac:dyDescent="0.25">
      <c r="A77" s="8">
        <v>44969</v>
      </c>
      <c r="B77" s="9">
        <v>54000</v>
      </c>
      <c r="D77" t="s">
        <v>35</v>
      </c>
      <c r="E77">
        <v>3</v>
      </c>
      <c r="F77" s="9">
        <f t="shared" si="1"/>
        <v>18000</v>
      </c>
      <c r="G77" t="s">
        <v>50</v>
      </c>
    </row>
    <row r="78" spans="1:7" x14ac:dyDescent="0.25">
      <c r="A78" s="8">
        <v>44970</v>
      </c>
      <c r="B78" s="9">
        <v>648000</v>
      </c>
      <c r="D78" t="s">
        <v>40</v>
      </c>
      <c r="E78">
        <v>162</v>
      </c>
      <c r="F78" s="9">
        <f t="shared" si="1"/>
        <v>4000</v>
      </c>
      <c r="G78" t="s">
        <v>51</v>
      </c>
    </row>
    <row r="79" spans="1:7" x14ac:dyDescent="0.25">
      <c r="A79" s="8">
        <v>44970</v>
      </c>
      <c r="B79" s="9">
        <v>90000</v>
      </c>
      <c r="D79" t="s">
        <v>37</v>
      </c>
      <c r="E79">
        <v>5</v>
      </c>
      <c r="F79" s="9">
        <f t="shared" si="1"/>
        <v>18000</v>
      </c>
      <c r="G79" t="s">
        <v>38</v>
      </c>
    </row>
    <row r="80" spans="1:7" x14ac:dyDescent="0.25">
      <c r="A80" s="8">
        <v>44970</v>
      </c>
      <c r="B80" s="9">
        <v>1000000</v>
      </c>
      <c r="D80" t="s">
        <v>37</v>
      </c>
      <c r="E80">
        <v>50</v>
      </c>
      <c r="F80" s="9">
        <f t="shared" si="1"/>
        <v>20000</v>
      </c>
      <c r="G80" t="s">
        <v>52</v>
      </c>
    </row>
    <row r="81" spans="1:8" x14ac:dyDescent="0.25">
      <c r="A81" s="8">
        <v>44970</v>
      </c>
      <c r="B81" s="9">
        <v>418000</v>
      </c>
      <c r="D81" t="s">
        <v>37</v>
      </c>
      <c r="E81">
        <v>22</v>
      </c>
      <c r="F81" s="9">
        <f t="shared" si="1"/>
        <v>19000</v>
      </c>
      <c r="G81" t="s">
        <v>42</v>
      </c>
    </row>
    <row r="82" spans="1:8" x14ac:dyDescent="0.25">
      <c r="A82" s="8">
        <v>44971</v>
      </c>
      <c r="B82" s="9">
        <v>418000</v>
      </c>
      <c r="D82" t="s">
        <v>37</v>
      </c>
      <c r="E82">
        <v>22</v>
      </c>
      <c r="F82" s="9">
        <f t="shared" si="1"/>
        <v>19000</v>
      </c>
      <c r="G82" t="s">
        <v>42</v>
      </c>
    </row>
    <row r="83" spans="1:8" x14ac:dyDescent="0.25">
      <c r="A83" s="8">
        <v>44971</v>
      </c>
      <c r="B83" s="9">
        <v>105000</v>
      </c>
      <c r="D83" t="s">
        <v>53</v>
      </c>
      <c r="E83">
        <v>5</v>
      </c>
      <c r="F83" s="9">
        <f t="shared" si="1"/>
        <v>21000</v>
      </c>
      <c r="G83" t="s">
        <v>54</v>
      </c>
    </row>
    <row r="84" spans="1:8" x14ac:dyDescent="0.25">
      <c r="A84" s="8">
        <v>44972</v>
      </c>
      <c r="B84" s="9">
        <v>10000</v>
      </c>
      <c r="D84" t="s">
        <v>49</v>
      </c>
      <c r="E84">
        <v>1</v>
      </c>
      <c r="F84" s="9">
        <f t="shared" si="1"/>
        <v>10000</v>
      </c>
      <c r="G84" t="s">
        <v>45</v>
      </c>
    </row>
    <row r="85" spans="1:8" x14ac:dyDescent="0.25">
      <c r="A85" s="8">
        <v>44972</v>
      </c>
      <c r="C85" s="9">
        <v>104000</v>
      </c>
      <c r="D85" t="s">
        <v>55</v>
      </c>
      <c r="E85">
        <v>200</v>
      </c>
      <c r="F85" s="9">
        <f>+C85/E85</f>
        <v>520</v>
      </c>
      <c r="G85" t="s">
        <v>10</v>
      </c>
    </row>
    <row r="86" spans="1:8" x14ac:dyDescent="0.25">
      <c r="A86" s="8">
        <v>44972</v>
      </c>
      <c r="C86" s="9">
        <v>84000</v>
      </c>
      <c r="D86" t="s">
        <v>56</v>
      </c>
      <c r="E86">
        <v>210</v>
      </c>
      <c r="F86" s="9">
        <f>+C86/E86</f>
        <v>400</v>
      </c>
      <c r="G86" t="s">
        <v>39</v>
      </c>
    </row>
    <row r="87" spans="1:8" x14ac:dyDescent="0.25">
      <c r="A87" s="8">
        <v>44972</v>
      </c>
      <c r="B87" s="9">
        <v>765000</v>
      </c>
      <c r="D87" t="s">
        <v>35</v>
      </c>
      <c r="E87">
        <v>45</v>
      </c>
      <c r="F87" s="9">
        <f t="shared" si="1"/>
        <v>17000</v>
      </c>
      <c r="G87" t="s">
        <v>39</v>
      </c>
      <c r="H87" t="s">
        <v>57</v>
      </c>
    </row>
    <row r="88" spans="1:8" x14ac:dyDescent="0.25">
      <c r="A88" s="8">
        <v>44973</v>
      </c>
      <c r="B88" s="9">
        <v>114000</v>
      </c>
      <c r="D88" t="s">
        <v>35</v>
      </c>
      <c r="E88">
        <v>6</v>
      </c>
      <c r="F88" s="9">
        <f t="shared" si="1"/>
        <v>19000</v>
      </c>
      <c r="G88" t="s">
        <v>58</v>
      </c>
    </row>
    <row r="89" spans="1:8" x14ac:dyDescent="0.25">
      <c r="A89" s="8">
        <v>44973</v>
      </c>
      <c r="B89" s="9">
        <v>75000</v>
      </c>
      <c r="D89" t="s">
        <v>40</v>
      </c>
      <c r="E89">
        <v>15</v>
      </c>
      <c r="F89" s="9">
        <f t="shared" si="1"/>
        <v>5000</v>
      </c>
      <c r="G89" t="s">
        <v>58</v>
      </c>
    </row>
    <row r="90" spans="1:8" x14ac:dyDescent="0.25">
      <c r="A90" s="8">
        <v>44973</v>
      </c>
      <c r="B90" s="9">
        <v>228000</v>
      </c>
      <c r="D90" t="s">
        <v>37</v>
      </c>
      <c r="E90">
        <v>12</v>
      </c>
      <c r="F90" s="9">
        <f t="shared" si="1"/>
        <v>19000</v>
      </c>
      <c r="G90" t="s">
        <v>42</v>
      </c>
    </row>
    <row r="91" spans="1:8" x14ac:dyDescent="0.25">
      <c r="A91" s="8">
        <v>44973</v>
      </c>
      <c r="B91" s="9">
        <v>25000</v>
      </c>
      <c r="D91" t="s">
        <v>40</v>
      </c>
      <c r="E91">
        <v>5</v>
      </c>
      <c r="F91" s="9">
        <f t="shared" si="1"/>
        <v>5000</v>
      </c>
      <c r="G91" t="s">
        <v>42</v>
      </c>
    </row>
    <row r="92" spans="1:8" x14ac:dyDescent="0.25">
      <c r="A92" s="8">
        <v>44973</v>
      </c>
      <c r="B92" s="9">
        <v>1000000</v>
      </c>
      <c r="D92" t="s">
        <v>37</v>
      </c>
      <c r="E92">
        <v>50</v>
      </c>
      <c r="F92" s="9">
        <f t="shared" si="1"/>
        <v>20000</v>
      </c>
      <c r="G92" t="s">
        <v>52</v>
      </c>
    </row>
    <row r="93" spans="1:8" x14ac:dyDescent="0.25">
      <c r="A93" s="8">
        <v>44973</v>
      </c>
      <c r="B93" s="9">
        <v>44000</v>
      </c>
      <c r="D93" t="s">
        <v>59</v>
      </c>
      <c r="E93">
        <v>2</v>
      </c>
      <c r="F93" s="9">
        <f t="shared" si="1"/>
        <v>22000</v>
      </c>
    </row>
    <row r="94" spans="1:8" x14ac:dyDescent="0.25">
      <c r="A94" s="8">
        <v>44973</v>
      </c>
      <c r="B94" s="9">
        <v>80000</v>
      </c>
      <c r="D94" t="s">
        <v>53</v>
      </c>
      <c r="E94">
        <v>4</v>
      </c>
      <c r="F94" s="9">
        <f t="shared" si="1"/>
        <v>20000</v>
      </c>
    </row>
    <row r="95" spans="1:8" x14ac:dyDescent="0.25">
      <c r="A95" s="8">
        <v>44973</v>
      </c>
      <c r="B95" s="9">
        <v>60000</v>
      </c>
      <c r="D95" t="s">
        <v>37</v>
      </c>
      <c r="E95">
        <v>3</v>
      </c>
      <c r="F95" s="9">
        <f t="shared" si="1"/>
        <v>20000</v>
      </c>
    </row>
    <row r="96" spans="1:8" x14ac:dyDescent="0.25">
      <c r="A96" s="8">
        <v>44974</v>
      </c>
      <c r="C96" s="9">
        <v>4352000</v>
      </c>
      <c r="D96" t="s">
        <v>34</v>
      </c>
      <c r="E96">
        <v>64</v>
      </c>
      <c r="F96" s="9">
        <f>+C96/E96</f>
        <v>68000</v>
      </c>
    </row>
    <row r="97" spans="1:8" x14ac:dyDescent="0.25">
      <c r="A97" s="8">
        <v>44974</v>
      </c>
      <c r="C97" s="9">
        <v>208000</v>
      </c>
      <c r="D97" t="s">
        <v>55</v>
      </c>
      <c r="E97">
        <f>4*100</f>
        <v>400</v>
      </c>
      <c r="F97" s="9">
        <f>+C97/E97</f>
        <v>520</v>
      </c>
    </row>
    <row r="98" spans="1:8" x14ac:dyDescent="0.25">
      <c r="A98" s="8">
        <v>44974</v>
      </c>
      <c r="B98" s="9">
        <v>475000</v>
      </c>
      <c r="D98" t="s">
        <v>37</v>
      </c>
      <c r="E98">
        <v>25</v>
      </c>
      <c r="F98" s="9">
        <f t="shared" si="1"/>
        <v>19000</v>
      </c>
      <c r="G98" t="s">
        <v>42</v>
      </c>
    </row>
    <row r="99" spans="1:8" x14ac:dyDescent="0.25">
      <c r="A99" s="8">
        <v>44974</v>
      </c>
      <c r="B99" s="9">
        <v>456000</v>
      </c>
      <c r="D99" t="s">
        <v>35</v>
      </c>
      <c r="E99">
        <v>24</v>
      </c>
      <c r="F99" s="9">
        <f t="shared" si="1"/>
        <v>19000</v>
      </c>
      <c r="G99" t="s">
        <v>60</v>
      </c>
    </row>
    <row r="100" spans="1:8" x14ac:dyDescent="0.25">
      <c r="A100" s="8">
        <v>44974</v>
      </c>
      <c r="B100" s="9">
        <v>800000</v>
      </c>
      <c r="D100" t="s">
        <v>37</v>
      </c>
      <c r="E100">
        <v>40</v>
      </c>
      <c r="F100" s="9">
        <f t="shared" si="1"/>
        <v>20000</v>
      </c>
      <c r="G100" t="s">
        <v>60</v>
      </c>
    </row>
    <row r="101" spans="1:8" x14ac:dyDescent="0.25">
      <c r="A101" s="8">
        <v>44974</v>
      </c>
      <c r="B101" s="9">
        <v>44000</v>
      </c>
      <c r="D101" t="s">
        <v>53</v>
      </c>
      <c r="E101">
        <v>2</v>
      </c>
      <c r="F101" s="9">
        <f t="shared" si="1"/>
        <v>22000</v>
      </c>
      <c r="G101" t="s">
        <v>61</v>
      </c>
    </row>
    <row r="102" spans="1:8" x14ac:dyDescent="0.25">
      <c r="A102" s="8">
        <v>44975</v>
      </c>
      <c r="B102" s="9">
        <v>220000</v>
      </c>
      <c r="D102" t="s">
        <v>53</v>
      </c>
      <c r="E102">
        <v>10</v>
      </c>
      <c r="F102" s="9">
        <f t="shared" si="1"/>
        <v>22000</v>
      </c>
      <c r="G102" t="s">
        <v>47</v>
      </c>
    </row>
    <row r="103" spans="1:8" x14ac:dyDescent="0.25">
      <c r="A103" s="8">
        <v>44975</v>
      </c>
      <c r="C103" s="9">
        <v>75000</v>
      </c>
      <c r="D103" t="s">
        <v>62</v>
      </c>
      <c r="E103">
        <v>1</v>
      </c>
      <c r="F103" s="9">
        <f>+C103/E103</f>
        <v>75000</v>
      </c>
    </row>
    <row r="104" spans="1:8" x14ac:dyDescent="0.25">
      <c r="A104" s="8">
        <v>44975</v>
      </c>
      <c r="C104" s="9">
        <v>60000</v>
      </c>
      <c r="D104" t="s">
        <v>63</v>
      </c>
      <c r="E104">
        <v>4</v>
      </c>
      <c r="F104" s="9">
        <f>+C104/E104</f>
        <v>15000</v>
      </c>
    </row>
    <row r="105" spans="1:8" x14ac:dyDescent="0.25">
      <c r="A105" s="8">
        <v>44975</v>
      </c>
      <c r="B105" s="9">
        <v>400000</v>
      </c>
      <c r="D105" t="s">
        <v>37</v>
      </c>
      <c r="E105">
        <v>20</v>
      </c>
      <c r="F105" s="9">
        <f t="shared" si="1"/>
        <v>20000</v>
      </c>
      <c r="G105" t="s">
        <v>42</v>
      </c>
    </row>
    <row r="106" spans="1:8" x14ac:dyDescent="0.25">
      <c r="A106" s="8">
        <v>44975</v>
      </c>
      <c r="B106" s="9">
        <v>500000</v>
      </c>
      <c r="D106" t="s">
        <v>37</v>
      </c>
      <c r="E106">
        <v>25</v>
      </c>
      <c r="F106" s="9">
        <f t="shared" si="1"/>
        <v>20000</v>
      </c>
      <c r="G106" t="s">
        <v>60</v>
      </c>
    </row>
    <row r="107" spans="1:8" x14ac:dyDescent="0.25">
      <c r="A107" s="8">
        <v>44975</v>
      </c>
      <c r="B107" s="9">
        <v>95000</v>
      </c>
      <c r="D107" t="s">
        <v>35</v>
      </c>
      <c r="E107">
        <v>5</v>
      </c>
      <c r="F107" s="9">
        <f t="shared" si="1"/>
        <v>19000</v>
      </c>
      <c r="G107" t="s">
        <v>60</v>
      </c>
    </row>
    <row r="108" spans="1:8" x14ac:dyDescent="0.25">
      <c r="A108" s="8">
        <v>44976</v>
      </c>
      <c r="B108" s="9">
        <v>108000</v>
      </c>
      <c r="D108" t="s">
        <v>35</v>
      </c>
      <c r="E108">
        <v>6</v>
      </c>
      <c r="F108" s="9">
        <f t="shared" si="1"/>
        <v>18000</v>
      </c>
      <c r="G108" t="s">
        <v>38</v>
      </c>
    </row>
    <row r="109" spans="1:8" x14ac:dyDescent="0.25">
      <c r="A109" s="8">
        <v>44976</v>
      </c>
      <c r="B109" s="9">
        <v>80000</v>
      </c>
      <c r="D109" t="s">
        <v>35</v>
      </c>
      <c r="E109">
        <v>4</v>
      </c>
      <c r="F109" s="9">
        <f t="shared" si="1"/>
        <v>20000</v>
      </c>
      <c r="G109" t="s">
        <v>64</v>
      </c>
    </row>
    <row r="110" spans="1:8" x14ac:dyDescent="0.25">
      <c r="A110" s="8">
        <v>44976</v>
      </c>
      <c r="B110" s="9">
        <v>110000</v>
      </c>
      <c r="D110" t="s">
        <v>53</v>
      </c>
      <c r="E110">
        <v>5</v>
      </c>
      <c r="F110" s="9">
        <f t="shared" si="1"/>
        <v>22000</v>
      </c>
      <c r="G110" t="s">
        <v>65</v>
      </c>
    </row>
    <row r="111" spans="1:8" x14ac:dyDescent="0.25">
      <c r="A111" s="8">
        <v>44976</v>
      </c>
      <c r="B111" s="9">
        <v>30000</v>
      </c>
      <c r="D111" t="s">
        <v>40</v>
      </c>
      <c r="E111">
        <v>6</v>
      </c>
      <c r="F111" s="9">
        <f t="shared" si="1"/>
        <v>5000</v>
      </c>
    </row>
    <row r="112" spans="1:8" x14ac:dyDescent="0.25">
      <c r="A112" s="8">
        <v>44976</v>
      </c>
      <c r="B112" s="9">
        <v>400000</v>
      </c>
      <c r="D112" t="s">
        <v>37</v>
      </c>
      <c r="E112">
        <v>20</v>
      </c>
      <c r="F112" s="9">
        <f t="shared" si="1"/>
        <v>20000</v>
      </c>
      <c r="G112" t="s">
        <v>66</v>
      </c>
      <c r="H112" t="s">
        <v>67</v>
      </c>
    </row>
    <row r="113" spans="1:10" x14ac:dyDescent="0.25">
      <c r="A113" s="8">
        <v>44977</v>
      </c>
      <c r="B113" s="9">
        <v>1000000</v>
      </c>
      <c r="D113" t="s">
        <v>37</v>
      </c>
      <c r="E113">
        <v>50</v>
      </c>
      <c r="F113" s="9">
        <f t="shared" si="1"/>
        <v>20000</v>
      </c>
      <c r="G113" t="s">
        <v>52</v>
      </c>
    </row>
    <row r="114" spans="1:10" x14ac:dyDescent="0.25">
      <c r="A114" s="8">
        <v>44977</v>
      </c>
      <c r="B114" s="9">
        <v>330000</v>
      </c>
      <c r="D114" t="s">
        <v>53</v>
      </c>
      <c r="E114">
        <v>15</v>
      </c>
      <c r="F114" s="9">
        <f t="shared" si="1"/>
        <v>22000</v>
      </c>
      <c r="G114" t="s">
        <v>68</v>
      </c>
    </row>
    <row r="115" spans="1:10" x14ac:dyDescent="0.25">
      <c r="A115" s="8">
        <v>44977</v>
      </c>
      <c r="B115" s="9">
        <v>147000</v>
      </c>
      <c r="D115" t="s">
        <v>37</v>
      </c>
      <c r="E115">
        <v>7</v>
      </c>
      <c r="F115" s="9">
        <f t="shared" si="1"/>
        <v>21000</v>
      </c>
      <c r="G115" t="s">
        <v>68</v>
      </c>
      <c r="J115">
        <f>13442*3/2</f>
        <v>20163</v>
      </c>
    </row>
    <row r="116" spans="1:10" x14ac:dyDescent="0.25">
      <c r="A116" s="8">
        <v>44977</v>
      </c>
      <c r="B116" s="9">
        <v>100000</v>
      </c>
      <c r="D116" t="s">
        <v>35</v>
      </c>
      <c r="E116">
        <v>5</v>
      </c>
      <c r="F116" s="9">
        <f t="shared" si="1"/>
        <v>20000</v>
      </c>
      <c r="G116" t="s">
        <v>68</v>
      </c>
    </row>
    <row r="141" spans="1:7" x14ac:dyDescent="0.25">
      <c r="A141" s="8">
        <v>45078</v>
      </c>
      <c r="B141" s="9">
        <v>192000</v>
      </c>
      <c r="D141" t="s">
        <v>69</v>
      </c>
      <c r="E141">
        <v>8</v>
      </c>
      <c r="F141" s="9">
        <f>+B141/E141</f>
        <v>24000</v>
      </c>
      <c r="G141" t="s">
        <v>52</v>
      </c>
    </row>
    <row r="142" spans="1:7" x14ac:dyDescent="0.25">
      <c r="B142" s="9">
        <v>621000</v>
      </c>
      <c r="E142">
        <v>27</v>
      </c>
      <c r="F142" s="9">
        <f t="shared" ref="F142:F183" si="2">+B142/E142</f>
        <v>23000</v>
      </c>
    </row>
    <row r="143" spans="1:7" x14ac:dyDescent="0.25">
      <c r="B143" s="9">
        <v>572000</v>
      </c>
      <c r="E143">
        <v>26</v>
      </c>
      <c r="F143" s="9">
        <f t="shared" si="2"/>
        <v>22000</v>
      </c>
    </row>
    <row r="144" spans="1:7" x14ac:dyDescent="0.25">
      <c r="B144" s="9">
        <v>144000</v>
      </c>
      <c r="E144">
        <v>6</v>
      </c>
      <c r="F144" s="9">
        <f t="shared" si="2"/>
        <v>24000</v>
      </c>
    </row>
    <row r="145" spans="2:6" x14ac:dyDescent="0.25">
      <c r="B145" s="9">
        <v>240000</v>
      </c>
      <c r="E145">
        <v>10</v>
      </c>
      <c r="F145" s="9">
        <f t="shared" si="2"/>
        <v>24000</v>
      </c>
    </row>
    <row r="146" spans="2:6" x14ac:dyDescent="0.25">
      <c r="B146" s="9">
        <v>1035000</v>
      </c>
      <c r="E146">
        <v>45</v>
      </c>
      <c r="F146" s="9">
        <f t="shared" si="2"/>
        <v>23000</v>
      </c>
    </row>
    <row r="147" spans="2:6" x14ac:dyDescent="0.25">
      <c r="B147" s="9">
        <v>690000</v>
      </c>
      <c r="E147">
        <v>30</v>
      </c>
      <c r="F147" s="9">
        <f t="shared" si="2"/>
        <v>23000</v>
      </c>
    </row>
    <row r="148" spans="2:6" x14ac:dyDescent="0.25">
      <c r="B148" s="9">
        <v>100000</v>
      </c>
      <c r="E148">
        <v>4</v>
      </c>
      <c r="F148" s="9">
        <f t="shared" si="2"/>
        <v>25000</v>
      </c>
    </row>
    <row r="149" spans="2:6" x14ac:dyDescent="0.25">
      <c r="B149" s="9">
        <v>660000</v>
      </c>
      <c r="E149">
        <v>30</v>
      </c>
      <c r="F149" s="9">
        <f t="shared" si="2"/>
        <v>22000</v>
      </c>
    </row>
    <row r="150" spans="2:6" x14ac:dyDescent="0.25">
      <c r="B150" s="9">
        <v>1311000</v>
      </c>
      <c r="E150">
        <v>57</v>
      </c>
      <c r="F150" s="9">
        <f t="shared" si="2"/>
        <v>23000</v>
      </c>
    </row>
    <row r="151" spans="2:6" x14ac:dyDescent="0.25">
      <c r="B151" s="9">
        <v>504000</v>
      </c>
      <c r="E151">
        <v>21</v>
      </c>
      <c r="F151" s="9">
        <f t="shared" si="2"/>
        <v>24000</v>
      </c>
    </row>
    <row r="152" spans="2:6" x14ac:dyDescent="0.25">
      <c r="B152" s="9">
        <v>25000</v>
      </c>
      <c r="E152">
        <v>1</v>
      </c>
      <c r="F152" s="9">
        <f t="shared" si="2"/>
        <v>25000</v>
      </c>
    </row>
    <row r="153" spans="2:6" x14ac:dyDescent="0.25">
      <c r="B153" s="9">
        <v>600000</v>
      </c>
      <c r="E153">
        <v>25</v>
      </c>
      <c r="F153" s="9">
        <f t="shared" si="2"/>
        <v>24000</v>
      </c>
    </row>
    <row r="154" spans="2:6" x14ac:dyDescent="0.25">
      <c r="B154" s="9">
        <v>230000</v>
      </c>
      <c r="E154">
        <v>10</v>
      </c>
      <c r="F154" s="9">
        <f t="shared" si="2"/>
        <v>23000</v>
      </c>
    </row>
    <row r="155" spans="2:6" x14ac:dyDescent="0.25">
      <c r="B155" s="9">
        <v>1426000</v>
      </c>
      <c r="E155">
        <v>62</v>
      </c>
      <c r="F155" s="9">
        <f t="shared" si="2"/>
        <v>23000</v>
      </c>
    </row>
    <row r="156" spans="2:6" x14ac:dyDescent="0.25">
      <c r="B156" s="9">
        <v>50000</v>
      </c>
      <c r="E156">
        <v>2</v>
      </c>
      <c r="F156" s="9">
        <f t="shared" si="2"/>
        <v>25000</v>
      </c>
    </row>
    <row r="157" spans="2:6" x14ac:dyDescent="0.25">
      <c r="B157" s="9">
        <v>100000</v>
      </c>
      <c r="E157">
        <v>4</v>
      </c>
      <c r="F157" s="9">
        <f t="shared" si="2"/>
        <v>25000</v>
      </c>
    </row>
    <row r="158" spans="2:6" x14ac:dyDescent="0.25">
      <c r="B158" s="9">
        <v>805000</v>
      </c>
      <c r="E158">
        <v>35</v>
      </c>
      <c r="F158" s="9">
        <f t="shared" si="2"/>
        <v>23000</v>
      </c>
    </row>
    <row r="159" spans="2:6" x14ac:dyDescent="0.25">
      <c r="B159" s="9">
        <v>240000</v>
      </c>
      <c r="E159">
        <v>10</v>
      </c>
      <c r="F159" s="9">
        <f t="shared" si="2"/>
        <v>24000</v>
      </c>
    </row>
    <row r="160" spans="2:6" x14ac:dyDescent="0.25">
      <c r="B160" s="9">
        <v>50000</v>
      </c>
      <c r="E160">
        <v>2</v>
      </c>
      <c r="F160" s="9">
        <f t="shared" si="2"/>
        <v>25000</v>
      </c>
    </row>
    <row r="161" spans="2:6" x14ac:dyDescent="0.25">
      <c r="B161" s="9">
        <v>50000</v>
      </c>
      <c r="E161">
        <v>2</v>
      </c>
      <c r="F161" s="9">
        <f t="shared" si="2"/>
        <v>25000</v>
      </c>
    </row>
    <row r="162" spans="2:6" x14ac:dyDescent="0.25">
      <c r="B162" s="9">
        <v>240000</v>
      </c>
      <c r="E162">
        <v>10</v>
      </c>
      <c r="F162" s="9">
        <f t="shared" si="2"/>
        <v>24000</v>
      </c>
    </row>
    <row r="163" spans="2:6" x14ac:dyDescent="0.25">
      <c r="B163" s="9">
        <v>144000</v>
      </c>
      <c r="E163">
        <v>6</v>
      </c>
      <c r="F163" s="9">
        <f t="shared" si="2"/>
        <v>24000</v>
      </c>
    </row>
    <row r="164" spans="2:6" x14ac:dyDescent="0.25">
      <c r="B164" s="9">
        <v>552000</v>
      </c>
      <c r="E164">
        <v>23</v>
      </c>
      <c r="F164" s="9">
        <f t="shared" si="2"/>
        <v>24000</v>
      </c>
    </row>
    <row r="165" spans="2:6" x14ac:dyDescent="0.25">
      <c r="B165" s="9">
        <v>480000</v>
      </c>
      <c r="E165">
        <v>20</v>
      </c>
      <c r="F165" s="9">
        <f t="shared" si="2"/>
        <v>24000</v>
      </c>
    </row>
    <row r="166" spans="2:6" x14ac:dyDescent="0.25">
      <c r="B166" s="9">
        <v>240000</v>
      </c>
      <c r="E166">
        <v>10</v>
      </c>
      <c r="F166" s="9">
        <f t="shared" si="2"/>
        <v>24000</v>
      </c>
    </row>
    <row r="167" spans="2:6" x14ac:dyDescent="0.25">
      <c r="B167" s="9">
        <v>770000</v>
      </c>
      <c r="E167">
        <v>35</v>
      </c>
      <c r="F167" s="9">
        <f t="shared" si="2"/>
        <v>22000</v>
      </c>
    </row>
    <row r="168" spans="2:6" x14ac:dyDescent="0.25">
      <c r="B168" s="9">
        <v>75000</v>
      </c>
      <c r="E168">
        <v>3</v>
      </c>
      <c r="F168" s="9">
        <f t="shared" si="2"/>
        <v>25000</v>
      </c>
    </row>
    <row r="169" spans="2:6" x14ac:dyDescent="0.25">
      <c r="B169" s="9">
        <v>550000</v>
      </c>
      <c r="E169">
        <v>25</v>
      </c>
      <c r="F169" s="9">
        <f t="shared" si="2"/>
        <v>22000</v>
      </c>
    </row>
    <row r="170" spans="2:6" x14ac:dyDescent="0.25">
      <c r="B170" s="9">
        <v>430000</v>
      </c>
      <c r="E170">
        <v>20</v>
      </c>
      <c r="F170" s="9">
        <f t="shared" si="2"/>
        <v>21500</v>
      </c>
    </row>
    <row r="171" spans="2:6" x14ac:dyDescent="0.25">
      <c r="B171" s="9">
        <v>920000</v>
      </c>
      <c r="E171">
        <v>40</v>
      </c>
      <c r="F171" s="9">
        <f t="shared" si="2"/>
        <v>23000</v>
      </c>
    </row>
    <row r="172" spans="2:6" x14ac:dyDescent="0.25">
      <c r="B172" s="9">
        <v>100000</v>
      </c>
      <c r="E172">
        <v>4</v>
      </c>
      <c r="F172" s="9">
        <f t="shared" si="2"/>
        <v>25000</v>
      </c>
    </row>
    <row r="173" spans="2:6" x14ac:dyDescent="0.25">
      <c r="B173" s="9">
        <v>1012000</v>
      </c>
      <c r="E173">
        <v>44</v>
      </c>
      <c r="F173" s="9">
        <f t="shared" si="2"/>
        <v>23000</v>
      </c>
    </row>
    <row r="174" spans="2:6" x14ac:dyDescent="0.25">
      <c r="B174" s="9">
        <v>50000</v>
      </c>
      <c r="E174">
        <v>2</v>
      </c>
      <c r="F174" s="9">
        <f t="shared" si="2"/>
        <v>25000</v>
      </c>
    </row>
    <row r="175" spans="2:6" x14ac:dyDescent="0.25">
      <c r="B175" s="9">
        <v>480000</v>
      </c>
      <c r="E175">
        <v>20</v>
      </c>
      <c r="F175" s="9">
        <f t="shared" si="2"/>
        <v>24000</v>
      </c>
    </row>
    <row r="176" spans="2:6" x14ac:dyDescent="0.25">
      <c r="B176" s="9">
        <v>690000</v>
      </c>
      <c r="E176">
        <v>30</v>
      </c>
      <c r="F176" s="9">
        <f t="shared" si="2"/>
        <v>23000</v>
      </c>
    </row>
    <row r="177" spans="2:8" x14ac:dyDescent="0.25">
      <c r="B177" s="9">
        <v>200000</v>
      </c>
      <c r="E177">
        <v>10</v>
      </c>
      <c r="F177" s="9">
        <f t="shared" si="2"/>
        <v>20000</v>
      </c>
      <c r="H177" s="9">
        <f>+AVERAGE(B141:B183)/AVERAGE(E141:E183)</f>
        <v>23119.668246445501</v>
      </c>
    </row>
    <row r="178" spans="2:8" x14ac:dyDescent="0.25">
      <c r="B178" s="9">
        <v>828000</v>
      </c>
      <c r="E178">
        <v>36</v>
      </c>
      <c r="F178" s="9">
        <f t="shared" si="2"/>
        <v>23000</v>
      </c>
    </row>
    <row r="179" spans="2:8" x14ac:dyDescent="0.25">
      <c r="B179" s="9">
        <v>225000</v>
      </c>
      <c r="E179">
        <v>9</v>
      </c>
      <c r="F179" s="9">
        <f t="shared" si="2"/>
        <v>25000</v>
      </c>
    </row>
    <row r="180" spans="2:8" x14ac:dyDescent="0.25">
      <c r="B180" s="9">
        <v>100000</v>
      </c>
      <c r="E180">
        <v>4</v>
      </c>
      <c r="F180" s="9">
        <f t="shared" si="2"/>
        <v>25000</v>
      </c>
    </row>
    <row r="181" spans="2:8" x14ac:dyDescent="0.25">
      <c r="B181" s="9">
        <v>720000</v>
      </c>
      <c r="E181">
        <v>30</v>
      </c>
      <c r="F181" s="9">
        <f t="shared" si="2"/>
        <v>24000</v>
      </c>
    </row>
    <row r="182" spans="2:8" x14ac:dyDescent="0.25">
      <c r="B182" s="9">
        <v>1012000</v>
      </c>
      <c r="E182">
        <v>44</v>
      </c>
      <c r="F182" s="9">
        <f t="shared" si="2"/>
        <v>23000</v>
      </c>
    </row>
    <row r="183" spans="2:8" x14ac:dyDescent="0.25">
      <c r="B183" s="9">
        <v>50000</v>
      </c>
      <c r="E183">
        <v>2</v>
      </c>
      <c r="F183" s="9">
        <f t="shared" si="2"/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Ganancias</vt:lpstr>
      <vt:lpstr>Ingresos 2023</vt:lpstr>
      <vt:lpstr>Ingresos 2024</vt:lpstr>
      <vt:lpstr>Egresos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Cabral</dc:creator>
  <cp:lastModifiedBy>Laura Cabral</cp:lastModifiedBy>
  <dcterms:created xsi:type="dcterms:W3CDTF">2024-02-03T01:25:45Z</dcterms:created>
  <dcterms:modified xsi:type="dcterms:W3CDTF">2024-11-20T23:08:57Z</dcterms:modified>
</cp:coreProperties>
</file>